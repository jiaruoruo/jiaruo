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updateLinks="never" codeName="DieseArbeitsmappe" defaultThemeVersion="124226"/>
  <mc:AlternateContent xmlns:mc="http://schemas.openxmlformats.org/markup-compatibility/2006">
    <mc:Choice Requires="x15">
      <x15ac:absPath xmlns:x15ac="http://schemas.microsoft.com/office/spreadsheetml/2010/11/ac" url="D:\工作\咨询\SGS\模板\ISO26262 WP Template\Part 2 Safety Management\"/>
    </mc:Choice>
  </mc:AlternateContent>
  <xr:revisionPtr revIDLastSave="0" documentId="13_ncr:1_{2E18AD00-2211-401F-A3FF-745864F9B39A}" xr6:coauthVersionLast="47" xr6:coauthVersionMax="47" xr10:uidLastSave="{00000000-0000-0000-0000-000000000000}"/>
  <bookViews>
    <workbookView xWindow="-110" yWindow="-110" windowWidth="21820" windowHeight="14020" tabRatio="811" activeTab="4" xr2:uid="{00000000-000D-0000-FFFF-FFFF00000000}"/>
  </bookViews>
  <sheets>
    <sheet name="Cover" sheetId="12" r:id="rId1"/>
    <sheet name="General-Description" sheetId="4" r:id="rId2"/>
    <sheet name="1_Role and Responsibilities" sheetId="3" r:id="rId3"/>
    <sheet name="Description of 2_Safety_plan" sheetId="5" r:id="rId4"/>
    <sheet name="2_Safety_plan" sheetId="6" r:id="rId5"/>
    <sheet name="Description of 3_Document_list" sheetId="7" r:id="rId6"/>
    <sheet name="Tabelle1" sheetId="9" state="hidden" r:id="rId7"/>
  </sheets>
  <externalReferences>
    <externalReference r:id="rId8"/>
    <externalReference r:id="rId9"/>
  </externalReferences>
  <definedNames>
    <definedName name="_xlnm._FilterDatabase" localSheetId="4" hidden="1">'2_Safety_plan'!$A$7:$AC$436</definedName>
    <definedName name="DocStatus">[1]data!$B$2:$B$8</definedName>
    <definedName name="_xlnm.Print_Area" localSheetId="2">'1_Role and Responsibilities'!$A$1:$L$47</definedName>
    <definedName name="_xlnm.Print_Area" localSheetId="4">'2_Safety_plan'!$A$1:$AC$431</definedName>
    <definedName name="_xlnm.Print_Titles" localSheetId="2">'1_Role and Responsibilities'!$1:$1</definedName>
    <definedName name="_xlnm.Print_Titles" localSheetId="4">'2_Safety_plan'!$7:$7</definedName>
    <definedName name="Projektmitarbeiter">'1_Role and Responsibilities'!$E$19:$H$32</definedName>
    <definedName name="Status">Tabelle1!$A$2:$A$10</definedName>
    <definedName name="Z_A881EEAB_4C12_45E2_A786_FAF50DD5927A_.wvu.Cols" localSheetId="4" hidden="1">'2_Safety_plan'!$M:$N</definedName>
    <definedName name="Z_A881EEAB_4C12_45E2_A786_FAF50DD5927A_.wvu.FilterData" localSheetId="4" hidden="1">'2_Safety_plan'!$A$7:$AC$436</definedName>
    <definedName name="Z_A881EEAB_4C12_45E2_A786_FAF50DD5927A_.wvu.PrintArea" localSheetId="2" hidden="1">'1_Role and Responsibilities'!$A$1:$L$47</definedName>
    <definedName name="Z_A881EEAB_4C12_45E2_A786_FAF50DD5927A_.wvu.PrintArea" localSheetId="4" hidden="1">'2_Safety_plan'!$A$1:$AC$431</definedName>
    <definedName name="Z_A881EEAB_4C12_45E2_A786_FAF50DD5927A_.wvu.PrintTitles" localSheetId="2" hidden="1">'1_Role and Responsibilities'!$1:$1</definedName>
    <definedName name="Z_A881EEAB_4C12_45E2_A786_FAF50DD5927A_.wvu.PrintTitles" localSheetId="4" hidden="1">'2_Safety_plan'!$7:$7</definedName>
  </definedNames>
  <calcPr calcId="191028"/>
  <customWorkbookViews>
    <customWorkbookView name="hans_kienzerle - Persönliche Ansicht" guid="{A881EEAB-4C12-45E2-A786-FAF50DD5927A}" mergeInterval="0" personalView="1" maximized="1" xWindow="1" yWindow="1" windowWidth="1680" windowHeight="819" tabRatio="953" activeSheetId="10"/>
  </customWorkbookViews>
</workbook>
</file>

<file path=xl/calcChain.xml><?xml version="1.0" encoding="utf-8"?>
<calcChain xmlns="http://schemas.openxmlformats.org/spreadsheetml/2006/main">
  <c r="B1" i="7" l="1"/>
  <c r="A1" i="5"/>
  <c r="A1" i="3"/>
  <c r="A1" i="4"/>
  <c r="D21" i="3"/>
  <c r="D22" i="3"/>
  <c r="O7" i="6" s="1"/>
  <c r="D23" i="3"/>
  <c r="P7" i="6" s="1"/>
  <c r="D24" i="3"/>
  <c r="Q7" i="6" s="1"/>
  <c r="D25" i="3"/>
  <c r="R7" i="6" s="1"/>
  <c r="D26" i="3"/>
  <c r="S7" i="6"/>
  <c r="D27" i="3"/>
  <c r="T7" i="6" s="1"/>
  <c r="D28" i="3"/>
  <c r="U7" i="6" s="1"/>
  <c r="D29" i="3"/>
  <c r="V7" i="6" s="1"/>
  <c r="D30" i="3"/>
  <c r="D31" i="3"/>
  <c r="D32" i="3"/>
  <c r="W7" i="6"/>
  <c r="D20" i="3"/>
  <c r="D19" i="3"/>
  <c r="H52" i="6"/>
  <c r="A20" i="3"/>
  <c r="A21" i="3"/>
  <c r="A22" i="3"/>
  <c r="A23" i="3" s="1"/>
  <c r="A24" i="3" s="1"/>
  <c r="A25" i="3" s="1"/>
  <c r="A26" i="3" s="1"/>
  <c r="A27" i="3" s="1"/>
  <c r="A28" i="3" s="1"/>
  <c r="A29" i="3" s="1"/>
  <c r="A30" i="3" s="1"/>
  <c r="A31" i="3" s="1"/>
  <c r="A32" i="3" s="1"/>
  <c r="F2" i="6"/>
  <c r="A1" i="6"/>
  <c r="X435" i="6"/>
  <c r="AC4" i="6"/>
  <c r="AB4" i="6"/>
  <c r="AB3" i="6"/>
  <c r="AB6" i="6"/>
  <c r="W435" i="6"/>
  <c r="U435" i="6"/>
  <c r="T435" i="6"/>
  <c r="Q435" i="6"/>
  <c r="R435" i="6"/>
  <c r="S435" i="6"/>
  <c r="V435" i="6"/>
  <c r="AB5" i="6"/>
  <c r="O435" i="6"/>
  <c r="P43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Xiang</author>
  </authors>
  <commentList>
    <comment ref="L7" authorId="0" shapeId="0" xr:uid="{0E598CBC-A0EE-45E7-BE3D-1893E5D58BEA}">
      <text>
        <r>
          <rPr>
            <b/>
            <sz val="9"/>
            <color indexed="81"/>
            <rFont val="宋体"/>
            <family val="3"/>
            <charset val="134"/>
          </rPr>
          <t>Xiang:</t>
        </r>
        <r>
          <rPr>
            <sz val="9"/>
            <color indexed="81"/>
            <rFont val="宋体"/>
            <family val="3"/>
            <charset val="134"/>
          </rPr>
          <t xml:space="preserve">
As far as the implementation differes from 
the responsible organisation it has to be stated by whom the Implementation/accomplishment relies on.
There might be more than one named thus these can be named by adding rows.
Partly filled with examples.
</t>
        </r>
      </text>
    </comment>
  </commentList>
</comments>
</file>

<file path=xl/sharedStrings.xml><?xml version="1.0" encoding="utf-8"?>
<sst xmlns="http://schemas.openxmlformats.org/spreadsheetml/2006/main" count="1193" uniqueCount="865">
  <si>
    <t>Safety Plan</t>
    <phoneticPr fontId="28" type="noConversion"/>
  </si>
  <si>
    <t>Version</t>
    <phoneticPr fontId="28" type="noConversion"/>
  </si>
  <si>
    <t>Date</t>
    <phoneticPr fontId="28" type="noConversion"/>
  </si>
  <si>
    <t>Status</t>
    <phoneticPr fontId="28" type="noConversion"/>
  </si>
  <si>
    <t>Project</t>
    <phoneticPr fontId="28" type="noConversion"/>
  </si>
  <si>
    <t>1.       Participants</t>
    <phoneticPr fontId="28" type="noConversion"/>
  </si>
  <si>
    <t>Last Name, First Name</t>
    <phoneticPr fontId="28" type="noConversion"/>
  </si>
  <si>
    <t>Job Titile</t>
    <phoneticPr fontId="28" type="noConversion"/>
  </si>
  <si>
    <t>Role</t>
    <phoneticPr fontId="28" type="noConversion"/>
  </si>
  <si>
    <t>Responsible For</t>
    <phoneticPr fontId="28" type="noConversion"/>
  </si>
  <si>
    <t>2.       Quality Assurance</t>
    <phoneticPr fontId="28" type="noConversion"/>
  </si>
  <si>
    <t>Name</t>
    <phoneticPr fontId="28" type="noConversion"/>
  </si>
  <si>
    <t>Reviewer</t>
    <phoneticPr fontId="28" type="noConversion"/>
  </si>
  <si>
    <t>Approver</t>
    <phoneticPr fontId="28" type="noConversion"/>
  </si>
  <si>
    <t>3.       Change Record</t>
    <phoneticPr fontId="28" type="noConversion"/>
  </si>
  <si>
    <t>Document Section</t>
    <phoneticPr fontId="28" type="noConversion"/>
  </si>
  <si>
    <t>Change Description</t>
    <phoneticPr fontId="28" type="noConversion"/>
  </si>
  <si>
    <t>Author</t>
    <phoneticPr fontId="28" type="noConversion"/>
  </si>
  <si>
    <t>1 Introducion</t>
  </si>
  <si>
    <t>This template "safety plan" includes all document relevant aspects of ISO 26262.
By listing the work products, the distribution of responsibilty and appointments and allocating the status, the project can effectively be setup and be tracked.
At the same time the key aspects (see Figure 2 Scope of the Safety Plan) of a "DIA" and a "Safety Cases" are satisfiable. (Relevant information and input into the template provided)
For the user this also offers an easy way to customize the template according to his needs. Columns and rows can be added. 
By using "cross-references"  a parallel description with all the negative effects is avoided. 
Main intention is keeping key information by collecting the appropriate links and to give/collect/track status and time line.</t>
    <phoneticPr fontId="28" type="noConversion"/>
  </si>
  <si>
    <t>2 Scope of the Safety Plan</t>
  </si>
  <si>
    <r>
      <t>The safety manager shall maintain the "</t>
    </r>
    <r>
      <rPr>
        <b/>
        <sz val="10"/>
        <rFont val="Arial"/>
        <family val="2"/>
      </rPr>
      <t>Safety Plan"</t>
    </r>
    <r>
      <rPr>
        <sz val="10"/>
        <rFont val="Arial"/>
        <family val="2"/>
      </rPr>
      <t xml:space="preserve">, and monitor the progress of the safety activities against the safety plan.
The aspects of a </t>
    </r>
    <r>
      <rPr>
        <b/>
        <sz val="10"/>
        <rFont val="Arial"/>
        <family val="2"/>
      </rPr>
      <t>"Development Interface Agreement" (DIA)</t>
    </r>
    <r>
      <rPr>
        <sz val="10"/>
        <rFont val="Arial"/>
        <family val="2"/>
      </rPr>
      <t xml:space="preserve"> is the definition and description of the flow of all safety related development activities and work products. It  shall define the interfaces between OEM and Suppliers for distributed development projects.
The </t>
    </r>
    <r>
      <rPr>
        <b/>
        <sz val="10"/>
        <rFont val="Arial"/>
        <family val="2"/>
      </rPr>
      <t>"Safety Case"</t>
    </r>
    <r>
      <rPr>
        <sz val="10"/>
        <rFont val="Arial"/>
        <family val="2"/>
      </rPr>
      <t xml:space="preserve"> should progressively compile the work products that are generated during the
safety lifecycle.
All three aspects can be combined with these work sheets and their inclosing work products.</t>
    </r>
  </si>
  <si>
    <t>3 Structure of the document:</t>
  </si>
  <si>
    <t xml:space="preserve">1. Sheet "1_Role and Responsibilities": All involved persons and companies  and roles in the project are listet and are referenced in the other sheets. 
2. Sheet "2_Safety_plan": The general planing of the project is done within these sheet. A detailed description of the single rows can be found in the sheet "Description of 2_Safety_plan"
3. Sheet "3_Document_list": This is the list where all the document and work products are listed and the refering Verknäpfungen within the project are done. A detailed description of the single rows can be found in the sheet "Description of 3_Document_list"
4. Sheet "DATA": Within this sheet there are needed excel datas stored.
</t>
    <phoneticPr fontId="28" type="noConversion"/>
  </si>
  <si>
    <t>4 General description hints to used bakground  colors:</t>
  </si>
  <si>
    <t>All cells filled with grey are not  to be filled out</t>
  </si>
  <si>
    <t>All cells filled with yellow are not  to be filled out</t>
  </si>
  <si>
    <t>All cells filled with linked content</t>
  </si>
  <si>
    <t>All cells Partly filled with blue are not to be filled out</t>
  </si>
  <si>
    <t>All cells filled with white color are to be filled</t>
  </si>
  <si>
    <t>5 Glossary</t>
  </si>
  <si>
    <r>
      <t xml:space="preserve">ASIL = </t>
    </r>
    <r>
      <rPr>
        <b/>
        <sz val="11"/>
        <color indexed="8"/>
        <rFont val="Calibri"/>
        <family val="2"/>
      </rPr>
      <t>A</t>
    </r>
    <r>
      <rPr>
        <sz val="10"/>
        <rFont val="Arial"/>
        <family val="2"/>
      </rPr>
      <t xml:space="preserve">utomotive </t>
    </r>
    <r>
      <rPr>
        <b/>
        <sz val="11"/>
        <color indexed="8"/>
        <rFont val="Calibri"/>
        <family val="2"/>
      </rPr>
      <t>S</t>
    </r>
    <r>
      <rPr>
        <sz val="10"/>
        <rFont val="Arial"/>
        <family val="2"/>
      </rPr>
      <t xml:space="preserve">afety </t>
    </r>
    <r>
      <rPr>
        <b/>
        <sz val="11"/>
        <color indexed="8"/>
        <rFont val="Calibri"/>
        <family val="2"/>
      </rPr>
      <t>I</t>
    </r>
    <r>
      <rPr>
        <sz val="10"/>
        <rFont val="Arial"/>
        <family val="2"/>
      </rPr>
      <t xml:space="preserve">ntegrity </t>
    </r>
    <r>
      <rPr>
        <b/>
        <sz val="11"/>
        <color indexed="8"/>
        <rFont val="Calibri"/>
        <family val="2"/>
      </rPr>
      <t>L</t>
    </r>
    <r>
      <rPr>
        <sz val="10"/>
        <rFont val="Arial"/>
        <family val="2"/>
      </rPr>
      <t>evel
OU  = Organisation Unit
SaM = Safety Manager
SaE = Safety Engineer
PL = Project leader
SPL = Subproject Leader
R</t>
    </r>
    <r>
      <rPr>
        <vertAlign val="superscript"/>
        <sz val="10"/>
        <rFont val="Arial"/>
        <family val="2"/>
      </rPr>
      <t>1)</t>
    </r>
    <r>
      <rPr>
        <sz val="10"/>
        <rFont val="Arial"/>
        <family val="2"/>
      </rPr>
      <t>A</t>
    </r>
    <r>
      <rPr>
        <vertAlign val="superscript"/>
        <sz val="10"/>
        <rFont val="Arial"/>
        <family val="2"/>
      </rPr>
      <t>2)</t>
    </r>
    <r>
      <rPr>
        <sz val="10"/>
        <rFont val="Arial"/>
        <family val="2"/>
      </rPr>
      <t>S</t>
    </r>
    <r>
      <rPr>
        <vertAlign val="superscript"/>
        <sz val="10"/>
        <rFont val="Arial"/>
        <family val="2"/>
      </rPr>
      <t>3)</t>
    </r>
    <r>
      <rPr>
        <sz val="10"/>
        <rFont val="Arial"/>
        <family val="2"/>
      </rPr>
      <t>C</t>
    </r>
    <r>
      <rPr>
        <vertAlign val="superscript"/>
        <sz val="10"/>
        <rFont val="Arial"/>
        <family val="2"/>
      </rPr>
      <t>4)</t>
    </r>
    <r>
      <rPr>
        <sz val="10"/>
        <rFont val="Arial"/>
        <family val="2"/>
      </rPr>
      <t>I</t>
    </r>
    <r>
      <rPr>
        <vertAlign val="superscript"/>
        <sz val="10"/>
        <rFont val="Arial"/>
        <family val="2"/>
      </rPr>
      <t>5)</t>
    </r>
    <r>
      <rPr>
        <sz val="10"/>
        <rFont val="Arial"/>
        <family val="2"/>
      </rPr>
      <t xml:space="preserve"> = </t>
    </r>
    <r>
      <rPr>
        <b/>
        <sz val="11"/>
        <color indexed="8"/>
        <rFont val="Calibri"/>
        <family val="2"/>
      </rPr>
      <t>R</t>
    </r>
    <r>
      <rPr>
        <sz val="10"/>
        <rFont val="Arial"/>
        <family val="2"/>
      </rPr>
      <t xml:space="preserve">esponsible, </t>
    </r>
    <r>
      <rPr>
        <b/>
        <sz val="11"/>
        <color indexed="8"/>
        <rFont val="Calibri"/>
        <family val="2"/>
      </rPr>
      <t>A</t>
    </r>
    <r>
      <rPr>
        <sz val="10"/>
        <rFont val="Arial"/>
        <family val="2"/>
      </rPr>
      <t xml:space="preserve">ccountable, </t>
    </r>
    <r>
      <rPr>
        <b/>
        <sz val="11"/>
        <color indexed="8"/>
        <rFont val="Calibri"/>
        <family val="2"/>
      </rPr>
      <t>S</t>
    </r>
    <r>
      <rPr>
        <sz val="10"/>
        <rFont val="Arial"/>
        <family val="2"/>
      </rPr>
      <t xml:space="preserve">upport, </t>
    </r>
    <r>
      <rPr>
        <b/>
        <sz val="11"/>
        <color indexed="8"/>
        <rFont val="Calibri"/>
        <family val="2"/>
      </rPr>
      <t>C</t>
    </r>
    <r>
      <rPr>
        <sz val="10"/>
        <rFont val="Arial"/>
        <family val="2"/>
      </rPr>
      <t xml:space="preserve">onsultant, </t>
    </r>
    <r>
      <rPr>
        <b/>
        <sz val="11"/>
        <color indexed="8"/>
        <rFont val="Calibri"/>
        <family val="2"/>
      </rPr>
      <t>I</t>
    </r>
    <r>
      <rPr>
        <sz val="10"/>
        <rFont val="Arial"/>
        <family val="2"/>
      </rPr>
      <t xml:space="preserve">nformative
FMEA = </t>
    </r>
    <r>
      <rPr>
        <b/>
        <sz val="11"/>
        <color indexed="8"/>
        <rFont val="Calibri"/>
        <family val="2"/>
      </rPr>
      <t>F</t>
    </r>
    <r>
      <rPr>
        <sz val="10"/>
        <rFont val="Arial"/>
        <family val="2"/>
      </rPr>
      <t xml:space="preserve">ailure </t>
    </r>
    <r>
      <rPr>
        <b/>
        <sz val="11"/>
        <color indexed="8"/>
        <rFont val="Calibri"/>
        <family val="2"/>
      </rPr>
      <t>M</t>
    </r>
    <r>
      <rPr>
        <sz val="10"/>
        <rFont val="Arial"/>
        <family val="2"/>
      </rPr>
      <t xml:space="preserve">ode &amp; </t>
    </r>
    <r>
      <rPr>
        <b/>
        <sz val="11"/>
        <color indexed="8"/>
        <rFont val="Calibri"/>
        <family val="2"/>
      </rPr>
      <t>E</t>
    </r>
    <r>
      <rPr>
        <sz val="10"/>
        <rFont val="Arial"/>
        <family val="2"/>
      </rPr>
      <t xml:space="preserve">ffect </t>
    </r>
    <r>
      <rPr>
        <b/>
        <sz val="11"/>
        <color indexed="8"/>
        <rFont val="Calibri"/>
        <family val="2"/>
      </rPr>
      <t>A</t>
    </r>
    <r>
      <rPr>
        <sz val="10"/>
        <rFont val="Arial"/>
        <family val="2"/>
      </rPr>
      <t xml:space="preserve">nalysis
FTA = </t>
    </r>
    <r>
      <rPr>
        <b/>
        <sz val="11"/>
        <color indexed="8"/>
        <rFont val="Calibri"/>
        <family val="2"/>
      </rPr>
      <t>F</t>
    </r>
    <r>
      <rPr>
        <sz val="10"/>
        <rFont val="Arial"/>
        <family val="2"/>
      </rPr>
      <t xml:space="preserve">ault </t>
    </r>
    <r>
      <rPr>
        <b/>
        <sz val="11"/>
        <color indexed="8"/>
        <rFont val="Calibri"/>
        <family val="2"/>
      </rPr>
      <t>T</t>
    </r>
    <r>
      <rPr>
        <sz val="10"/>
        <rFont val="Arial"/>
        <family val="2"/>
      </rPr>
      <t xml:space="preserve">ree </t>
    </r>
    <r>
      <rPr>
        <b/>
        <sz val="11"/>
        <color indexed="8"/>
        <rFont val="Calibri"/>
        <family val="2"/>
      </rPr>
      <t>A</t>
    </r>
    <r>
      <rPr>
        <sz val="10"/>
        <rFont val="Arial"/>
        <family val="2"/>
      </rPr>
      <t xml:space="preserve">nalysis
HAZOP =   </t>
    </r>
    <r>
      <rPr>
        <b/>
        <sz val="11"/>
        <color indexed="8"/>
        <rFont val="Calibri"/>
        <family val="2"/>
      </rPr>
      <t>Haz</t>
    </r>
    <r>
      <rPr>
        <sz val="10"/>
        <rFont val="Arial"/>
        <family val="2"/>
      </rPr>
      <t xml:space="preserve">ard and </t>
    </r>
    <r>
      <rPr>
        <b/>
        <sz val="11"/>
        <color indexed="8"/>
        <rFont val="Calibri"/>
        <family val="2"/>
      </rPr>
      <t>Op</t>
    </r>
    <r>
      <rPr>
        <sz val="10"/>
        <rFont val="Arial"/>
        <family val="2"/>
      </rPr>
      <t xml:space="preserve">erability study 
ETA = </t>
    </r>
    <r>
      <rPr>
        <b/>
        <sz val="11"/>
        <color indexed="8"/>
        <rFont val="Calibri"/>
        <family val="2"/>
      </rPr>
      <t>E</t>
    </r>
    <r>
      <rPr>
        <sz val="10"/>
        <rFont val="Arial"/>
        <family val="2"/>
      </rPr>
      <t xml:space="preserve">vent </t>
    </r>
    <r>
      <rPr>
        <b/>
        <sz val="11"/>
        <color indexed="8"/>
        <rFont val="Calibri"/>
        <family val="2"/>
      </rPr>
      <t>T</t>
    </r>
    <r>
      <rPr>
        <sz val="10"/>
        <rFont val="Arial"/>
        <family val="2"/>
      </rPr>
      <t xml:space="preserve">ree </t>
    </r>
    <r>
      <rPr>
        <b/>
        <sz val="11"/>
        <color indexed="8"/>
        <rFont val="Calibri"/>
        <family val="2"/>
      </rPr>
      <t>A</t>
    </r>
    <r>
      <rPr>
        <sz val="10"/>
        <rFont val="Arial"/>
        <family val="2"/>
      </rPr>
      <t xml:space="preserve">nalysis
RBD = </t>
    </r>
    <r>
      <rPr>
        <b/>
        <sz val="11"/>
        <color indexed="8"/>
        <rFont val="Calibri"/>
        <family val="2"/>
      </rPr>
      <t>R</t>
    </r>
    <r>
      <rPr>
        <sz val="10"/>
        <rFont val="Arial"/>
        <family val="2"/>
      </rPr>
      <t xml:space="preserve">eliability </t>
    </r>
    <r>
      <rPr>
        <b/>
        <sz val="11"/>
        <color indexed="8"/>
        <rFont val="Calibri"/>
        <family val="2"/>
      </rPr>
      <t>B</t>
    </r>
    <r>
      <rPr>
        <sz val="10"/>
        <rFont val="Arial"/>
        <family val="2"/>
      </rPr>
      <t xml:space="preserve">lock </t>
    </r>
    <r>
      <rPr>
        <b/>
        <sz val="11"/>
        <color indexed="8"/>
        <rFont val="Calibri"/>
        <family val="2"/>
      </rPr>
      <t>D</t>
    </r>
    <r>
      <rPr>
        <sz val="10"/>
        <rFont val="Arial"/>
        <family val="2"/>
      </rPr>
      <t>iagram</t>
    </r>
  </si>
  <si>
    <t>Project Milestones</t>
    <phoneticPr fontId="28" type="noConversion"/>
  </si>
  <si>
    <t>Planning and Coordination of Safety Activities</t>
    <phoneticPr fontId="28" type="noConversion"/>
  </si>
  <si>
    <t>Refer to Safety plan Sheet</t>
    <phoneticPr fontId="28" type="noConversion"/>
  </si>
  <si>
    <t>Organization Chart</t>
    <phoneticPr fontId="28" type="noConversion"/>
  </si>
  <si>
    <t>Escalation Path</t>
    <phoneticPr fontId="28" type="noConversion"/>
  </si>
  <si>
    <t>Comunication Mechanism</t>
    <phoneticPr fontId="28" type="noConversion"/>
  </si>
  <si>
    <t>Problem Management</t>
    <phoneticPr fontId="28" type="noConversion"/>
  </si>
  <si>
    <t>Supporting Process</t>
    <phoneticPr fontId="28" type="noConversion"/>
  </si>
  <si>
    <t>Assignment of roles / persons</t>
  </si>
  <si>
    <t xml:space="preserve">No. </t>
  </si>
  <si>
    <t>Organization</t>
    <phoneticPr fontId="28" type="noConversion"/>
  </si>
  <si>
    <t>Title in Project</t>
    <phoneticPr fontId="28" type="noConversion"/>
  </si>
  <si>
    <t>Responsibility</t>
    <phoneticPr fontId="28" type="noConversion"/>
  </si>
  <si>
    <t>Qualification</t>
    <phoneticPr fontId="28" type="noConversion"/>
  </si>
  <si>
    <t>Contact details</t>
  </si>
  <si>
    <t>Project Manager (Item)</t>
    <phoneticPr fontId="28" type="noConversion"/>
  </si>
  <si>
    <t>OEM</t>
  </si>
  <si>
    <t xml:space="preserve">Phone:   
Mobile:   
Fax:        
E-Mail: </t>
    <phoneticPr fontId="28" type="noConversion"/>
  </si>
  <si>
    <t>Safety Manager (Item)</t>
  </si>
  <si>
    <t>Project Director</t>
    <phoneticPr fontId="28" type="noConversion"/>
  </si>
  <si>
    <t>OEM</t>
    <phoneticPr fontId="28" type="noConversion"/>
  </si>
  <si>
    <t>Project Manager (ECU)</t>
    <phoneticPr fontId="28" type="noConversion"/>
  </si>
  <si>
    <t>Tier 1 Supplier</t>
    <phoneticPr fontId="28" type="noConversion"/>
  </si>
  <si>
    <t>Safety Manager (ECU)</t>
  </si>
  <si>
    <t>Quality Manager (ECU)</t>
  </si>
  <si>
    <t xml:space="preserve">Phone:   
Mobile:   
Fax:        
E-Mail: 
</t>
  </si>
  <si>
    <t>R&amp;D Manager  (ECU)</t>
  </si>
  <si>
    <t>Safety Expert (ECU)
(System)</t>
  </si>
  <si>
    <t>Safety Expert (ECU)
(HW + HW-Test)</t>
  </si>
  <si>
    <t>Safety Expert (ECU)
(SW + SW-Test, Tool-Qualification)</t>
    <phoneticPr fontId="28" type="noConversion"/>
  </si>
  <si>
    <t>Safety Expert (ECU)
(Safety Analyses, HW-Metrics)</t>
  </si>
  <si>
    <t xml:space="preserve">Phone:   
Mobile:   
Fax:        
E-Mail: 
</t>
    <phoneticPr fontId="28" type="noConversion"/>
  </si>
  <si>
    <t>Configuration Manager</t>
    <phoneticPr fontId="28" type="noConversion"/>
  </si>
  <si>
    <t>Safety Assessor (ECU)</t>
    <phoneticPr fontId="28" type="noConversion"/>
  </si>
  <si>
    <t>Change Histroy</t>
  </si>
  <si>
    <t>Description</t>
  </si>
  <si>
    <t>Author</t>
  </si>
  <si>
    <t>Date</t>
  </si>
  <si>
    <t>References</t>
  </si>
  <si>
    <t>1. Description to headlines of sheet "2_Safety_plan"</t>
  </si>
  <si>
    <t>Number of List</t>
  </si>
  <si>
    <t>Reference to standard</t>
  </si>
  <si>
    <t>The refering chapter number of ISO26262</t>
  </si>
  <si>
    <t>Content</t>
  </si>
  <si>
    <t>Summarized content description. Partly filled with examples.</t>
  </si>
  <si>
    <t>Objectives / Target</t>
  </si>
  <si>
    <r>
      <t xml:space="preserve">Condensed description of each objectiv/target.The content describes the requirements of the ISO 26262 standard. For the particular development project supplements or descriptions can be to added below.
</t>
    </r>
    <r>
      <rPr>
        <sz val="10"/>
        <color indexed="10"/>
        <rFont val="Arial"/>
        <family val="2"/>
      </rPr>
      <t xml:space="preserve">
</t>
    </r>
  </si>
  <si>
    <t>Implementation of Objectives /Targets</t>
  </si>
  <si>
    <t>Description and hints of the implementation in the project. 
Partly filled with examples.</t>
  </si>
  <si>
    <t>Input
documents</t>
  </si>
  <si>
    <t xml:space="preserve">Document content, prerequisities or results which are needed as input information. 
</t>
  </si>
  <si>
    <t>Output
documents</t>
  </si>
  <si>
    <t>Documents content or results which areoutput information
Partly filled with examples.</t>
  </si>
  <si>
    <t>Responsibility</t>
  </si>
  <si>
    <t>The responsible for the Output document. For first approach as minimum information the resp. organisation has to be stated. There might be more than one. 
Partly filled with examples.</t>
  </si>
  <si>
    <t>Implementation accomplishment</t>
  </si>
  <si>
    <t>Start</t>
  </si>
  <si>
    <t xml:space="preserve">Planed start of the activity in accordance of the roject plan.
Partly filled with examples.
</t>
    <phoneticPr fontId="28" type="noConversion"/>
  </si>
  <si>
    <t>End</t>
  </si>
  <si>
    <t>Planed End of the activity in accordance of the roject plan.
Partly filled with examples.</t>
  </si>
  <si>
    <t>Resources [h]</t>
  </si>
  <si>
    <t xml:space="preserve">If appilcable
Estimated working hours for Output
Partly filled with examples.
</t>
  </si>
  <si>
    <t>Note</t>
  </si>
  <si>
    <t>Space for notes.
Partly filled with examples.</t>
  </si>
  <si>
    <t>Implementation of Objectives /Targets</t>
    <phoneticPr fontId="28" type="noConversion"/>
  </si>
  <si>
    <t>Mapping to Internal Work Product</t>
    <phoneticPr fontId="28" type="noConversion"/>
  </si>
  <si>
    <t>Tailoring applicable?</t>
  </si>
  <si>
    <t>Arguments for applying the Tailoring
 [see 26262-8 Support]</t>
  </si>
  <si>
    <t>Development
Resources [h]</t>
    <phoneticPr fontId="28" type="noConversion"/>
  </si>
  <si>
    <t>Safety Assessor Resource [h]</t>
    <phoneticPr fontId="28" type="noConversion"/>
  </si>
  <si>
    <t>Gesamt
Resources [h]</t>
  </si>
  <si>
    <t>Resource to Use</t>
    <phoneticPr fontId="28" type="noConversion"/>
  </si>
  <si>
    <t>Date of Note</t>
  </si>
  <si>
    <t xml:space="preserve">  </t>
  </si>
  <si>
    <t>General</t>
  </si>
  <si>
    <t>Purpose</t>
  </si>
  <si>
    <t>The requirements of the ISO 26262 safety standard lead to the necessity of systematically planning the activities and measures for ensuring functional safety and of naming responsible persons for the individual activities. This is part of the management tasks of the person responsible for the entire project.</t>
  </si>
  <si>
    <t>Procedure</t>
  </si>
  <si>
    <t xml:space="preserve">The safety project plan serves to systematically plan and allocate the safety activities required and the resources necessary for its implementation. 
The safety plan on hand was adapted to the project. 
This plan is to be approved by the project management; the safety activities are to be explicitly adopted into the overall project plan in sufficient detail and the necessary resources are to be assigned to them. 
The safety project plan is implemented, versioned and archived for future reference by the project management. 
Updates and adjustments of the safety plan are also subject to versioning and documentation as in a controlled document. 
The updated safety project plan forms the basis for the creation of what is referred to as “safety cases”, a systematic summary of all documents necessary for proving functional safety.
</t>
  </si>
  <si>
    <t>ISO 26262-2</t>
  </si>
  <si>
    <t>Management of functional safety</t>
  </si>
  <si>
    <t>ISO 26262-2
Clause 5</t>
  </si>
  <si>
    <t>Management of functional safety - Overall safety management</t>
  </si>
  <si>
    <t>2.1</t>
  </si>
  <si>
    <t>ISO 26262-2,
5.5.1</t>
    <phoneticPr fontId="28" type="noConversion"/>
  </si>
  <si>
    <t>Organization-specific rules and processes for functional safety</t>
  </si>
  <si>
    <t>Objective acc. the standard  ISO 26262-2 (clause: 5.4.2.2):
The organization shall institute, execute and maintain organization-specific rules and processes to comply with the requirements of ISO 26262.
NOTE Such organization-specific rules and processes can include the creation and maintenance of a generic safety plan and process description.</t>
  </si>
  <si>
    <t>e.g. generic process of functional saftey</t>
    <phoneticPr fontId="28" type="noConversion"/>
  </si>
  <si>
    <t xml:space="preserve">Organization-specific rules and processes for functional safety
</t>
  </si>
  <si>
    <t>OEM  Project Manager (Item)</t>
  </si>
  <si>
    <t>OEM  Project Director</t>
  </si>
  <si>
    <t>2.2</t>
  </si>
  <si>
    <t>ISO 26262-2,
5.5.2</t>
  </si>
  <si>
    <t>Evidence of competence</t>
  </si>
  <si>
    <t xml:space="preserve">Objective acc. the standard ISO 26262-2 (clause 5.4.3.1):
The organization shall ensure that the persons involved in the execution of the safety lifecycle have a sufficient level of skills, competences and qualifications corresponding to their responsibilities.
(Knowledge in safety technology, safety standards, etc.)
</t>
  </si>
  <si>
    <t>Client's safety management training program, etc. ETSS analysis results, training certificate, Client qualification, office organization, etc.</t>
    <phoneticPr fontId="28" type="noConversion"/>
  </si>
  <si>
    <t>No</t>
  </si>
  <si>
    <t>2.3</t>
  </si>
  <si>
    <t>ISO 26262-2,
5.5.3</t>
  </si>
  <si>
    <t>Evidence of quality management</t>
  </si>
  <si>
    <t>Objective acc. the standard ISO 26262-2 (clause 5.4.4.1):
The organizations involved in the execution of the safety lifecycle shall have an operational quality management system complying with a quality management standard, such as ISO/TS 16949, ISO 9001, or equivalent.</t>
    <phoneticPr fontId="28" type="noConversion"/>
  </si>
  <si>
    <t>See Project Plan</t>
  </si>
  <si>
    <t>ISO 9001 certificate,
ISO TS 16949 certificate,
Audit reports,</t>
  </si>
  <si>
    <t>ISO 16949</t>
    <phoneticPr fontId="28" type="noConversion"/>
  </si>
  <si>
    <t>ISO 26262-2,
5.5.4</t>
    <phoneticPr fontId="28" type="noConversion"/>
  </si>
  <si>
    <t>Identified safety anomaly</t>
    <phoneticPr fontId="28" type="noConversion"/>
  </si>
  <si>
    <t xml:space="preserve">Objective acc. the standard ISO 26262-2 (clause 5.4.3):
</t>
    <phoneticPr fontId="28" type="noConversion"/>
  </si>
  <si>
    <t>Safety anomaly</t>
    <phoneticPr fontId="28" type="noConversion"/>
  </si>
  <si>
    <t>Identified Safety anomaly report</t>
    <phoneticPr fontId="28" type="noConversion"/>
  </si>
  <si>
    <t>ISO 26262-2
Clause 6</t>
  </si>
  <si>
    <t>Management of functional safety - Safety management during the concept phase and the product development</t>
  </si>
  <si>
    <t>2.4</t>
    <phoneticPr fontId="28" type="noConversion"/>
  </si>
  <si>
    <t>ISO 26262-2,
6.5.1,6.5.2</t>
    <phoneticPr fontId="28" type="noConversion"/>
  </si>
  <si>
    <t>Impact Analysis</t>
    <phoneticPr fontId="28" type="noConversion"/>
  </si>
  <si>
    <t>Objective acc. the standard ISO 26262-2 (clause 6.4.3 and clause 6.4.4)</t>
    <phoneticPr fontId="28" type="noConversion"/>
  </si>
  <si>
    <t>Customer Project Requirements or Internal Project Requirements</t>
    <phoneticPr fontId="28" type="noConversion"/>
  </si>
  <si>
    <t>Impact Analysis Report</t>
    <phoneticPr fontId="28" type="noConversion"/>
  </si>
  <si>
    <t>2.5</t>
  </si>
  <si>
    <t>ISO 26262-2,
6.5.3</t>
    <phoneticPr fontId="28" type="noConversion"/>
  </si>
  <si>
    <t>Safety plan</t>
  </si>
  <si>
    <t xml:space="preserve">Objective acc. the standard ISO 26262-2 (clause 6.4.3.4):
The safety plan shall either be
a) referenced in the project plan, or
b) included in the project plan, such that the safety activities are distinguishable
Objective for Item under developement:
Project management for the safety activities
• Planning of safety activities with regard to time and resources
• Defining responsibilities
• Requesting the results of the work packages defined in the safety plan from those responsible in a timely manner
• Updating the safety plan with regard to changes in dates, resources, work packages
• Determining the safety-relevant release stECU up to series launch
</t>
  </si>
  <si>
    <t xml:space="preserve">Project plan,
System concept draft,
System concept review,
DIA,
Timeline with milestones for prototypes,
Required documents according to ISO26262
</t>
  </si>
  <si>
    <t>Safety Plan</t>
  </si>
  <si>
    <t>2.6</t>
  </si>
  <si>
    <t>ISO 26262-2,
6.5.4</t>
    <phoneticPr fontId="28" type="noConversion"/>
  </si>
  <si>
    <t>Safety Case</t>
  </si>
  <si>
    <t>Objective acc. the standard ISO 26262-2:
(clause 6.4.6.1) This requirement shall be complied with for items that have at least one safety goal with an ASIL (A), B, C or D: a safety case shall be developed in accordance with the safety plan.
(clause 6.4.6.2) The safety case should progressively compile the work products that are generated during the safety lifecycle.</t>
  </si>
  <si>
    <t xml:space="preserve">Document list,
Available work products,
protocols, meeting minutes...
</t>
  </si>
  <si>
    <t>2.7</t>
  </si>
  <si>
    <t>ISO 26262-2,
6.5.5</t>
    <phoneticPr fontId="28" type="noConversion"/>
  </si>
  <si>
    <t>Functional safety assessment plan</t>
  </si>
  <si>
    <t>Objective acc. the standard ISO 26262-2:
(clause 6.4.9.1) A functional safety assessment shall be carried out for items, where the highest ASIL of the item's safety goals is ASIL (B), C, or D.
(clause 6.4.9.2) A functional safety assessment shall be planned in accordance with 6.4.3.3 and 6.4.3.5 i).
EXAMPLE Agenda for a functional safety assessment given in Annex E.</t>
  </si>
  <si>
    <t xml:space="preserve">Work products required by the safety plan;
safety processes;
</t>
  </si>
  <si>
    <t>2.8</t>
  </si>
  <si>
    <t>Confirmation measure reports</t>
  </si>
  <si>
    <r>
      <t xml:space="preserve">Objective acc. the standard ISO 26262-2:
(clause 6.4.7.1) The confirmation measures specified in Table 1, ISO 26262-2 shall be performed, in accordance with the required level of independency.
Remark:
A confirmation review includes the checking of correctness with respect to formality, contents, adequacy and completeness regarding the requirements of ISO 26262.
</t>
    </r>
    <r>
      <rPr>
        <b/>
        <sz val="10"/>
        <color rgb="FFFF0000"/>
        <rFont val="Arial"/>
        <family val="2"/>
      </rPr>
      <t>ONLY Organization and planning of confirmation reviews</t>
    </r>
  </si>
  <si>
    <t>Table of confirmation measures,
Assessment report,
Audit report</t>
  </si>
  <si>
    <t>Confirmation measures reports</t>
  </si>
  <si>
    <t>2.9</t>
    <phoneticPr fontId="28" type="noConversion"/>
  </si>
  <si>
    <t>ISO 26262-2, 6.5.6</t>
    <phoneticPr fontId="28" type="noConversion"/>
  </si>
  <si>
    <t>Release for production report</t>
  </si>
  <si>
    <t xml:space="preserve">Objective acc. the standard ISO 26262-2(clause 6.4.13)
The requirements of ISO 26262-2, clause 6.4.13 shall be fulfilled.
The objective of this clause is to specify the release for production criteria at the completion of the item development. The release for production confirms that the item complies with the requirements for functional safety at the vehicle level.
</t>
    <phoneticPr fontId="28" type="noConversion"/>
  </si>
  <si>
    <t>Tier1 shall state the release for production in order to confirm that the item complies with the requirements for functional safety.</t>
  </si>
  <si>
    <t>Safety plan,
Safety case,
Project Plan,</t>
  </si>
  <si>
    <t>ISO 26262-2
Clause 7</t>
  </si>
  <si>
    <t>Management of functional safety - Safety management after the item's release for production</t>
  </si>
  <si>
    <t>2.10</t>
    <phoneticPr fontId="28" type="noConversion"/>
  </si>
  <si>
    <t>ISO 26262-2,
7.5.1</t>
    <phoneticPr fontId="28" type="noConversion"/>
  </si>
  <si>
    <t>Evidence of safety management regarding production, operation, service and decommissioning</t>
    <phoneticPr fontId="28" type="noConversion"/>
  </si>
  <si>
    <t xml:space="preserve">Objective acc. the standard ISO 26262-2:
(clause 7.4.2): The objective of this clause is to define the responsibilities of the organizations and persons responsible for functional safety after the item's release for production. This relates to the general activities for ensuring the
required functional safety of the item during the lifecycle sub phases after the release for production.
</t>
    <phoneticPr fontId="28" type="noConversion"/>
  </si>
  <si>
    <t>Suppliers Safety Management and support processes after SOP</t>
  </si>
  <si>
    <t>ISO 26262-3</t>
  </si>
  <si>
    <t>ISO 26262-3
Clause 5</t>
  </si>
  <si>
    <t>Item definition</t>
    <phoneticPr fontId="28" type="noConversion"/>
  </si>
  <si>
    <t>3.1</t>
  </si>
  <si>
    <t>ISO 26262-3,
5.5.1</t>
    <phoneticPr fontId="28" type="noConversion"/>
  </si>
  <si>
    <t xml:space="preserve">Item definition </t>
    <phoneticPr fontId="28" type="noConversion"/>
  </si>
  <si>
    <t xml:space="preserve">Objective acc. the standard ISO 26262-3(clause 5.5.1):
The first objective is to define and describe the item, its dependencies on, and interaction with, the environment and other items.
The second objective is to support an adequate understanding of the item so that the activities in subsequent phases can be performed.
Remark:
Description of planed function. On the basis of a represented system design a project order could be released. </t>
    <phoneticPr fontId="28" type="noConversion"/>
  </si>
  <si>
    <t>A description of the item with the corresponding subsystems XYZ: 
e.g.:  steering angle sensor, torque sensor of steering wheel , Shift by wire shall be prepared.</t>
  </si>
  <si>
    <t>System concept draft,
System concept review,
Item definition</t>
  </si>
  <si>
    <t>Item definition</t>
  </si>
  <si>
    <t>ISO 26262-3
Clause 6</t>
    <phoneticPr fontId="28" type="noConversion"/>
  </si>
  <si>
    <t>Hazard analysis and risk assessment
(System and subsystem)</t>
  </si>
  <si>
    <t>3.2</t>
    <phoneticPr fontId="28" type="noConversion"/>
  </si>
  <si>
    <t>ISO 26262-3, 6.5.1</t>
    <phoneticPr fontId="28" type="noConversion"/>
  </si>
  <si>
    <t>Hazard analysis and risk assessment</t>
    <phoneticPr fontId="28" type="noConversion"/>
  </si>
  <si>
    <t xml:space="preserve">Objective acc. the standard ISO 26262-3:
The objective of the hazard analysis and risk assessment is to identify and to categorise the hazards that malfunctions in the item can trigger and to formulate the safety goals related to the prevention or mitigation of the hazardous events, in order to avoid unreasonable risk.
</t>
  </si>
  <si>
    <t>Existing H&amp;R,
Item definition
Impact analysis,
Relevant information of other subsystems,</t>
  </si>
  <si>
    <t>Hazard analysis and risk assessment</t>
  </si>
  <si>
    <t>3.3</t>
    <phoneticPr fontId="28" type="noConversion"/>
  </si>
  <si>
    <t>ISO 26262-3, 6.5.2</t>
    <phoneticPr fontId="28" type="noConversion"/>
  </si>
  <si>
    <t>Safety goals</t>
    <phoneticPr fontId="28" type="noConversion"/>
  </si>
  <si>
    <t xml:space="preserve">Objective acc. the standard ISO 26262-3:
A safety goal shall be determined for each hazardous event with an ASIL evaluated in the hazard analysis.
</t>
  </si>
  <si>
    <t>The existing safety goals shall be checked by Tier1 / Independent Reviewer.</t>
  </si>
  <si>
    <t>Existing safety goals,</t>
  </si>
  <si>
    <t>Safety goals</t>
  </si>
  <si>
    <t>3.4</t>
    <phoneticPr fontId="28" type="noConversion"/>
  </si>
  <si>
    <t>ISO 26262-3, 6.5.3</t>
    <phoneticPr fontId="28" type="noConversion"/>
  </si>
  <si>
    <t>Verification report of the hazard analysis and risk assessment and the safety goals.</t>
    <phoneticPr fontId="28" type="noConversion"/>
  </si>
  <si>
    <t xml:space="preserve">Objective acc. the standard ISO 26262-3:
The hazard analysis, risk assessment and the safety goals shall be verified in accordance with ISO 26262-8:2018, Clause 9, to show their:
a) completeness with regard to situations and hazards;
b) compliance with the item definition;
c) consistency with related hazard analyses and risk assessments;
d) completeness of the coverage of the hazardous events; and
e) consistency of the assigned ASILs with the corresponding hazardous events.
</t>
  </si>
  <si>
    <t xml:space="preserve">Existing review report of the 
Hazard analysis and risk assessment and the safety goals.
</t>
  </si>
  <si>
    <t>Verification review report of the hazard analysis and risk assessment and the safety goals.</t>
  </si>
  <si>
    <t>ISO 26262-3
Clause 7</t>
    <phoneticPr fontId="28" type="noConversion"/>
  </si>
  <si>
    <t>Functional safety concept</t>
    <phoneticPr fontId="28" type="noConversion"/>
  </si>
  <si>
    <t>3.5</t>
    <phoneticPr fontId="28" type="noConversion"/>
  </si>
  <si>
    <t>ISO 26262-3, 7.5.1</t>
    <phoneticPr fontId="28" type="noConversion"/>
  </si>
  <si>
    <t xml:space="preserve">Objective acc. the standard ISO 26262-3:
The objective of the functional safety concept is to derive the functional safety requirements, from the safety goals, and to allocate them to the preliminary architectural elements of the item, or to external measures.
</t>
  </si>
  <si>
    <t>Item definition
H&amp;R,
Safety goals,
Technik Komponenten Lastenheft,
SANF_Sicherheitsanforderungen</t>
  </si>
  <si>
    <t>Functional safety concept
(including safety architecture)</t>
  </si>
  <si>
    <t>3.6</t>
    <phoneticPr fontId="28" type="noConversion"/>
  </si>
  <si>
    <t>ISO 26262-3, 7.5.2</t>
    <phoneticPr fontId="28" type="noConversion"/>
  </si>
  <si>
    <t>Verification report of the functional safety concept</t>
  </si>
  <si>
    <t xml:space="preserve">Objective acc. the standard ISO 26262-3:
The functional safety concept shall be verified in accordance with ISO 26262-8:2018, Clause 9, to show
a) its consistency and compliance with the safety goals; and
b) its ability to mitigate or avoid the hazardous events.
</t>
    <phoneticPr fontId="28" type="noConversion"/>
  </si>
  <si>
    <t>Functional safety concept
in latest version</t>
  </si>
  <si>
    <t>Review report of the functional safety concept</t>
  </si>
  <si>
    <t>ISO 26262-4</t>
  </si>
  <si>
    <t>Product development at the system level</t>
  </si>
  <si>
    <t>ISO 26262-4
Clause 5</t>
  </si>
  <si>
    <t>Initiation of product development at the system level</t>
  </si>
  <si>
    <t>4.1</t>
    <phoneticPr fontId="28" type="noConversion"/>
  </si>
  <si>
    <t>ISO 26262-4, 5.5.2</t>
  </si>
  <si>
    <t xml:space="preserve">Safety plan (refined)
</t>
  </si>
  <si>
    <t>The safety activities for the product development at the system level shall be planned including determination of appropriate methods and measures during design and integration.
The validation activities shall be planned.
The functional safety assessment activities for the product development at the system level shall be planned.
The tailoring of the lifecycle for product development at system level shall be performed in accordance with ISO 26262-2, and based on the reference phase model.
NOTE The project plan can be used to provide the relationship between the individual subphases of product development at the system level and the hardware and software development phases. This can include the integration stECU at each level.</t>
  </si>
  <si>
    <t>Safety plan (see
No. 2.4)</t>
  </si>
  <si>
    <t>Safety plan 
(refined)</t>
  </si>
  <si>
    <t>4.2</t>
    <phoneticPr fontId="28" type="noConversion"/>
  </si>
  <si>
    <t>ISO 26262-4, 5.5.3</t>
  </si>
  <si>
    <t xml:space="preserve">Item integration and testing plan
</t>
    <phoneticPr fontId="28" type="noConversion"/>
  </si>
  <si>
    <t xml:space="preserve">Objective acc. the standard ISO 26262-4:
The objective of the initiation of the product development at the system level is to determine and plan the functional safety activities during the individual sub phases of system development. This also includes the necessary supporting processes described in ISO 26262-8.
This planning of system-level safety activities will be included in the safety plan.
</t>
  </si>
  <si>
    <t xml:space="preserve">Functional safety concept,
Safety plan,
Project plan
</t>
  </si>
  <si>
    <t>Item integration and testing plan</t>
  </si>
  <si>
    <t>4.3</t>
    <phoneticPr fontId="28" type="noConversion"/>
  </si>
  <si>
    <t>ISO 26262-4, 5.5.4</t>
  </si>
  <si>
    <t xml:space="preserve">Validation plan
</t>
  </si>
  <si>
    <t xml:space="preserve">Objective acc. the standard ISO 26262-4:
The validation activities shall be planned.
Objective for item under developement:
Safety validation on vehicle level. The safety validation of the overall system under developement will be carried out on vehicle level. (Evidence of system safety). This includes testing of controllability, measuring of the fault tolerance time of subsystems etc.
</t>
  </si>
  <si>
    <t>Tier1 shall support the system validation of the under developement.</t>
  </si>
  <si>
    <t>Validation plan</t>
  </si>
  <si>
    <t>ISO 26262-4
Clause 6</t>
  </si>
  <si>
    <t>Technical safety concept</t>
    <phoneticPr fontId="28" type="noConversion"/>
  </si>
  <si>
    <t>4.4</t>
    <phoneticPr fontId="28" type="noConversion"/>
  </si>
  <si>
    <t>ISO 26262-4, 6.5.1</t>
  </si>
  <si>
    <t xml:space="preserve">Technical safety requirements specification
</t>
  </si>
  <si>
    <t>Objective acc. the standard ISO 26262-4:
The first objective of this sub phase is to specify the technical safety requirements. The technical safety requirements specification refines the functional safety concept, considering both the functional concept and
the preliminary architectural assumptions (see ISO 26262-3).
The second objective is to verify through analysis that the technical safety requirements comply with the functional safety requirements.
Objective for item under developement:
Tier1 is responsible to specify the technical safety requirements for the item under developement with the associated subsystems LWS, TMP, SBW, BLS, FUS</t>
  </si>
  <si>
    <t>H&amp;R,
Safety goals,
Functional safety requirements,
Technical safety requirements</t>
  </si>
  <si>
    <t>Technical safety requirements specifications</t>
  </si>
  <si>
    <t>4.5</t>
    <phoneticPr fontId="28" type="noConversion"/>
  </si>
  <si>
    <t>ISO 26262-4, 6.5.2</t>
    <phoneticPr fontId="28" type="noConversion"/>
  </si>
  <si>
    <t>Technical safety concept</t>
  </si>
  <si>
    <t xml:space="preserve">Objective acc. the standard ISO 26262-4:
The first objective of this sub phase is to develop the system design and the technical safety concept that comply with the functional requirements and the technical safety requirements specification of the item.
The second objective of this sub phase is to verify that the system design and the technical safety concept comply with the technical safety requirements specification.
</t>
  </si>
  <si>
    <t>Tier1 is responsible for the technical safety concept.</t>
  </si>
  <si>
    <t>Technical safety concept of the item,
Technical safety requirements specification,
Item integration and testing plan</t>
  </si>
  <si>
    <t>4.6</t>
    <phoneticPr fontId="28" type="noConversion"/>
  </si>
  <si>
    <t>ISO 26262-4, 6.5.3</t>
    <phoneticPr fontId="28" type="noConversion"/>
  </si>
  <si>
    <t>System design specification</t>
  </si>
  <si>
    <t xml:space="preserve">Objective acc. the standard ISO 26262-4:
The system design shall be based on the functional concept, the preliminary architectural assumptions and the technical safety requirements. The consistency of the preliminary architectural assumptions in ISO 26262-3:2018, 8.3.2 and the preliminary architectural assumptions in this sub phase shall
be ensured.
</t>
  </si>
  <si>
    <t>Technical safety concept of the item,
Technical safety requirements specification</t>
  </si>
  <si>
    <t>4.7</t>
    <phoneticPr fontId="28" type="noConversion"/>
  </si>
  <si>
    <t>ISO 26262-4, 6.5.4</t>
    <phoneticPr fontId="28" type="noConversion"/>
  </si>
  <si>
    <t>Hardware-software interface specification (HSI)</t>
  </si>
  <si>
    <t xml:space="preserve">Objective acc. the standard ISO 26262-4:
The HSI specification shall specify the hardware and software interaction and be consistent with the technical safety concept. The HSI specification shall include the component's hardware devices that are
controlled by software and hardware resources that support the execution of software.
</t>
  </si>
  <si>
    <t>4.8</t>
    <phoneticPr fontId="28" type="noConversion"/>
  </si>
  <si>
    <t>ISO 26262-4, 6.5.5</t>
    <phoneticPr fontId="28" type="noConversion"/>
  </si>
  <si>
    <t xml:space="preserve">Specification of requirements for production, operation, service and decommissioning
</t>
    <phoneticPr fontId="28" type="noConversion"/>
  </si>
  <si>
    <t xml:space="preserve">Objective acc. the standard ISO 26262-4:
The requirements for production, operation, service and decommissioning, identified during the system design, shall be specified (see ISO 26262-7). These include:
a) the assembly instructions requirements;
b) the safety-related special characteristics;
c) the requirements dedicated to ensure proper identification of systems or elements;
EXAMPLE 1 Labelling of elements.
d) the verification methods and measures for production;
e) the service requirements including diagnostic data and service notes; and
f) the decommissioning requirements
Objective for item under developement:
</t>
  </si>
  <si>
    <t>Technical safety requirements specification of the subsystem SSSPR</t>
  </si>
  <si>
    <t xml:space="preserve">Specification of requirements for production.
Specification of operation, service, and decommissioning
</t>
  </si>
  <si>
    <t xml:space="preserve">                                                                                                                                                                                                                                                                                                                                                                                                                                                                                                                                                                                                                                                                                                                                                                                                                                                                                                                                                                                                                                                                                                                                                                                                                                                                                                                                                                                                                                                                                                                                                                                                                                                                                                                                                                                                                               </t>
  </si>
  <si>
    <t>4.9</t>
    <phoneticPr fontId="28" type="noConversion"/>
  </si>
  <si>
    <t>ISO 26262-4, 6.5.6</t>
    <phoneticPr fontId="28" type="noConversion"/>
  </si>
  <si>
    <t xml:space="preserve">System verification report 
</t>
    <phoneticPr fontId="28" type="noConversion"/>
  </si>
  <si>
    <t xml:space="preserve">Objective acc. the standard ISO 26262-4:
The system design shall be verified for compliance and completeness with regard to the technical safety concept using the verification methods listed in Table 3.
 Table 1 and ISO 26262-9:2018, Clause 8.
</t>
    <phoneticPr fontId="28" type="noConversion"/>
  </si>
  <si>
    <t xml:space="preserve">System design specification
System-FMEDA
Functional safety concept,
Technical safety concept,
Block diagram
</t>
  </si>
  <si>
    <t>System verification report (refined)</t>
  </si>
  <si>
    <t>4.10</t>
    <phoneticPr fontId="28" type="noConversion"/>
  </si>
  <si>
    <t>ISO 26262-4, 6.5.7</t>
    <phoneticPr fontId="28" type="noConversion"/>
  </si>
  <si>
    <t>Safety analysis reports
FMEA</t>
  </si>
  <si>
    <t xml:space="preserve">Objective acc. the standard ISO 26262-4:
Safety analyses on the system design to identify the causes of systematic failures and the effects of systematic faults shall be applied in accordance with Table 1 ISO 26262-4 and ISO 26262-9:2018, Clause 8.
</t>
    <phoneticPr fontId="28" type="noConversion"/>
  </si>
  <si>
    <t xml:space="preserve">System-FMEA,
</t>
  </si>
  <si>
    <t>Safety analysis report</t>
  </si>
  <si>
    <t>4.11</t>
    <phoneticPr fontId="28" type="noConversion"/>
  </si>
  <si>
    <t>Safety analysis reports
FTA</t>
  </si>
  <si>
    <t>System-FTA</t>
  </si>
  <si>
    <t>ISO 26262-4
Clause 7</t>
    <phoneticPr fontId="28" type="noConversion"/>
  </si>
  <si>
    <t>Item integration and testing</t>
  </si>
  <si>
    <t>4.12</t>
    <phoneticPr fontId="28" type="noConversion"/>
  </si>
  <si>
    <t>ISO 26262-4, 7.5.1</t>
    <phoneticPr fontId="28" type="noConversion"/>
  </si>
  <si>
    <t>Item integration and testing plan
(refined)</t>
  </si>
  <si>
    <t xml:space="preserve">Objective acc. the standard ISO 26262-4:
The integration and testing phase comprises three phases and two primary goals as described below: the first phase is the integration of the hardware and software of each element that the item comprises. The second phase is the integration of the elements that comprise an item to form a complete system. The third phase is the integration of the item with other systems within a vehicle and with the vehicle itself.
The first objective of the integration process is to test compliance with each safety requirement in accordance with its specification and ASIL classification.
The second objective is to verify that the “System design” covering the safety requirements [see Clause 7 (System design)] are correctly implemented by the entire item.
</t>
  </si>
  <si>
    <t>Safety goals,
Functional safety concept,
Technical safety concept,
System design specification,</t>
  </si>
  <si>
    <t>Tier1 is responsible for testing at system level.</t>
  </si>
  <si>
    <t>OEM is responsible for testing at vehicle level.</t>
  </si>
  <si>
    <t>4.13</t>
    <phoneticPr fontId="28" type="noConversion"/>
  </si>
  <si>
    <t>ISO 26262-4, 
7.5.1</t>
    <phoneticPr fontId="28" type="noConversion"/>
  </si>
  <si>
    <t xml:space="preserve">Integration and test strategy </t>
    <phoneticPr fontId="28" type="noConversion"/>
  </si>
  <si>
    <t xml:space="preserve">Objective acc. the standard ISO 26262-4:
To demonstrate that the system design is compliant with the functional and technical safety requirements, integration testing activities shall be performed in accordance with ISO 26262-8:2018, Clause 9.
NOTE The following test goals are addressed in Tables 4 to 18:
a) the correct implementation of functional safety and technical safety requirements;
b) the correct functional performance, accuracy and timing of safety mechanisms;
c) the consistent and correct implementation of interfaces;
d) the effectiveness of a safety mechanism's diagnostic or failure coverage; and
e) the level of robustness.
</t>
    <phoneticPr fontId="28" type="noConversion"/>
  </si>
  <si>
    <t>Safety goals,
Functional safety concept,
Technical safety concept,
System design specification,
Item integration and testing plan</t>
  </si>
  <si>
    <t>Integration testing specification(s)</t>
  </si>
  <si>
    <t>4.18</t>
  </si>
  <si>
    <t>ISO 26262-4, 7.5.2</t>
    <phoneticPr fontId="28" type="noConversion"/>
  </si>
  <si>
    <t>Integration and test report</t>
    <phoneticPr fontId="28" type="noConversion"/>
  </si>
  <si>
    <t>Objective acc. the standard ISO 26262-4:
Testing reports resulting from the requirements from ISO 26262-4</t>
    <phoneticPr fontId="28" type="noConversion"/>
  </si>
  <si>
    <t>Safety goals,
Functional safety concept,
Technical safety concept,
System design specification,
Item integration and testing plan,
Integration testing specification(s)</t>
  </si>
  <si>
    <t>Integration testing reports(s)</t>
  </si>
  <si>
    <t>OEM is responsible for testing at 
vehicle level.</t>
  </si>
  <si>
    <t>ISO 26262-4
Clause 9</t>
  </si>
  <si>
    <t>Safety validation</t>
  </si>
  <si>
    <t>4.19</t>
  </si>
  <si>
    <t>ISO 26262-4, 8.5.1</t>
    <phoneticPr fontId="28" type="noConversion"/>
  </si>
  <si>
    <t>Validation plan (refined)</t>
  </si>
  <si>
    <t xml:space="preserve">Objective acc. the standard ISO 26262-4:
The first objective is to provide evidence of compliance with the safety goals and that the functional safety concepts are appropriate for the functional safety of the item.
The second objective is to provide evidence that the safety goals are correct, complete and fully achieved at the vehicle level.
</t>
  </si>
  <si>
    <t>Safety goals,
Functional Safety Concept,
Technical safety concept</t>
  </si>
  <si>
    <t>Validation plan
(refined)</t>
  </si>
  <si>
    <t>4.20</t>
  </si>
  <si>
    <t>ISO 26262-4, 
8.5.1</t>
    <phoneticPr fontId="28" type="noConversion"/>
  </si>
  <si>
    <t>Validation Specification including safety validation environment description</t>
    <phoneticPr fontId="28" type="noConversion"/>
  </si>
  <si>
    <t xml:space="preserve">Objective acc. the standard ISO 26262-4:
Validation report resulting from requirements 9.4.3 and 9.4.4
Objective for item under developement after tailoring:
</t>
  </si>
  <si>
    <t>Validation plan,
Safety goals,
Functional Safety Concept,
Technical safety concept</t>
  </si>
  <si>
    <t>Validation report</t>
  </si>
  <si>
    <t>ISO 26262-4, 
8.5.2</t>
    <phoneticPr fontId="28" type="noConversion"/>
  </si>
  <si>
    <t>ISO 26262-5</t>
  </si>
  <si>
    <t>Product development at the hardware level</t>
  </si>
  <si>
    <t>ISO 26262-5
Clause 5</t>
  </si>
  <si>
    <t>Initiation of product development at the hardware level</t>
  </si>
  <si>
    <t>5.1</t>
  </si>
  <si>
    <t>ISO 26262-5, 5.5.1</t>
  </si>
  <si>
    <t>Safety plan
(refined)</t>
  </si>
  <si>
    <t>Objective acc. the standard ISO 26262-5:
The objective of the initiation of the product development for the hardware is to determine and plan the functional safety activities during the individual sub phases of hardware development. This also includes the necessary supporting processes described in ISO 26262-8.
This planning of hardware-specific safety activities is included in the safety plan (see ISO 26262-2:2018, 6.4.3,
and ISO 26262-4:2018, 5.4)..</t>
  </si>
  <si>
    <t>Tier1 is responsible for the safety  plan.</t>
  </si>
  <si>
    <t>Project plan,
Safety plan,
Testing plan,</t>
  </si>
  <si>
    <t>ISO 26262-5
Clause 6</t>
  </si>
  <si>
    <t>Specification of hardware safety requirements</t>
  </si>
  <si>
    <t>5.2</t>
  </si>
  <si>
    <t>ISO 26262-5, 6.5.1</t>
  </si>
  <si>
    <t>Hardware safety requirements specification (including test and qualification criteria)</t>
  </si>
  <si>
    <t>Objective acc. the standard ISO 26262-5:
The first objective of this clause is to specify the hardware safety requirements. They are derived from the technical safety concept and system design specification.
The second objective is to verify that the hardware safety requirements are consistent with the technical safety concept and the system design specification.
A further objective of this phase is to detail the hardware-software interface (HSI) specification initiated in ISO 26262-4:2018, Clause 7.
Objective for item under developement after tailoring:
The hardware safety requirements specification with test and qualification criteria shall be stated.</t>
  </si>
  <si>
    <t>Safety plan,
Technical safety concept,
System design specification,
hardware-software interface specification</t>
  </si>
  <si>
    <t>5.3</t>
  </si>
  <si>
    <t>ISO 26262-5, 6.5.2</t>
  </si>
  <si>
    <t>Hardware-software interface specification (refined)</t>
  </si>
  <si>
    <t xml:space="preserve">Objective acc. the standard ISO 26262-5:
</t>
  </si>
  <si>
    <t>5.4</t>
  </si>
  <si>
    <t>ISO 26262-5, 6.5.3</t>
  </si>
  <si>
    <t>Hardware safety requirements verification report</t>
  </si>
  <si>
    <t>Objective acc. the standard ISO 26262-5:
The hardware safety requirements shall be verified in accordance with ISO 26262-8:2018, Clauses 6 and 9, in order to provide evidence of their:
a) consistency with the technical safety concept, the system design specification and the hardware specifications;
b) completeness with respect to the technical safety requirements allocated to the hardware element;
c) consistency with the relevant software safety requirements; and
d) correctness and accuracy.</t>
  </si>
  <si>
    <t>The verification report of the HW safety requirements shall be carried out by Tier1</t>
  </si>
  <si>
    <t>Safety plan,
Technical safety concept,
System design specification,</t>
  </si>
  <si>
    <t>ISO 26262-5
Clause 7</t>
  </si>
  <si>
    <t>Hardware design</t>
  </si>
  <si>
    <t>5.5</t>
  </si>
  <si>
    <t>ISO 26262-5, 7.5.1</t>
  </si>
  <si>
    <t>Hardware design specification</t>
  </si>
  <si>
    <t xml:space="preserve">Objective acc. the standard ISO 26262-5:
The first objective of this clause  7 is to design the hardware in accordance with the system design specification and the hardware safety requirements.
7.4.1 Hardware architectural design
7.4.2 Hardware detailed design
</t>
  </si>
  <si>
    <t>Hardware safety requirements specification,
System design specification,
Safety plan,
Sketch</t>
  </si>
  <si>
    <t>5.6</t>
  </si>
  <si>
    <t>ISO 26262-5, 7.5.2</t>
  </si>
  <si>
    <t>Hardware safety analysis report</t>
  </si>
  <si>
    <t>Objective acc. the standard ISO 26262-5:
Safety analyses on hardware design to identify the causes of failures and the effects of faults shall be applied in accordance with Table 2 and ISO 26262-9:2018, Clause 8.
7.4.3 Safety analyses
Objective for item under developement after tailoring:
One subsystem of the item is ASIL-D rated and table 2 of ISO 26262-5 is applied. Therefore a deductive analysis as for example a FTA and a inductive analysis as for example FMEDA shall be carried out.
Failure rates and failure models for the FMEDA shall be stated.</t>
  </si>
  <si>
    <t>Hardware safety requirements specification,
System design specification,
Safety plan</t>
  </si>
  <si>
    <t>5.7</t>
  </si>
  <si>
    <t>ISO 26262-5, 7.5.3</t>
  </si>
  <si>
    <t>Hardware design verification report</t>
  </si>
  <si>
    <t xml:space="preserve">Objective acc. the standard ISO 26262-5:
The hardware design shall be verified in accordance with ISO 26262-8, Clause 9, for compliance and completeness with respect to the hardware safety requirements. To achieve this, the methods listed in Table 3 shall be considered
Objective for item under developement after tailoring:
</t>
  </si>
  <si>
    <t>Hardware safety requirements specification,
System design specification,
Safety plan,
Schematic sketch</t>
  </si>
  <si>
    <t>5.8</t>
  </si>
  <si>
    <t>ISO 26262-5, 7.5.4</t>
  </si>
  <si>
    <t>Specification of requirements related to production, operation, service and decommissioning</t>
  </si>
  <si>
    <t xml:space="preserve">Objective acc. the standard ISO 26262-5:
Safety-related special characteristics shall be specified if safety analyses have shown them to be relevant. Attributes of safety-related special characteristics shall include:
a) the verification measures for production and operation; and
b) the acceptance criteria for these measures.
</t>
  </si>
  <si>
    <t>Hardware safety requirements specification,
System design specification,
Safety plan,
Schematic sketch,
HW-Design</t>
  </si>
  <si>
    <t>Specification of requirements related to production, operation, service and decommissioning
(Assembly instruction)</t>
  </si>
  <si>
    <t>ISO 26262-5
Clause 8</t>
  </si>
  <si>
    <t>Evaluation of the hardware architectural metrics</t>
  </si>
  <si>
    <t>5.9</t>
  </si>
  <si>
    <t>ISO 26262-5, 8.5.1</t>
  </si>
  <si>
    <t>Analysis of the effectiveness of the architecture of the item to cope with the random hardware
failures</t>
  </si>
  <si>
    <t>Objective acc. the standard ISO 26262-5:
The objective of this clause is to evaluate the hardware architecture of the item against the requirements for fault handling as represented by the hardware architectural metrics.
This requirement applies to ASIL (B), C, and D of the safety goal.
Remark:
For each safety goal, a quantitative target value shall be derived from Table 4, ISO 26262-5 e.g.:
Single-point fault metric for ASIL D: ≥ 99%
Latent-fault metric for ASIL D: ≥ 90%</t>
  </si>
  <si>
    <t>Schematic,
Hardware safety requirements specification,
Hardware design specification,
Hardware safety analysis report</t>
  </si>
  <si>
    <t>5.10</t>
  </si>
  <si>
    <t>ISO 26262-5, 8.5.2</t>
  </si>
  <si>
    <t>Verification review report of evaluation of the effectiveness of the architecture of the item to cope with the
random hardware failures</t>
    <phoneticPr fontId="28" type="noConversion"/>
  </si>
  <si>
    <t xml:space="preserve">Objective acc. the standard ISO 26262-5:
This requirement applies to ASIL (B), C, and D of the safety goal. A verification review of the result of the applied methods in 8.4.7 and 8.4.8 shall be performed in order to provide evidence of its technical correctness and completeness.
</t>
  </si>
  <si>
    <t>FTA, 
Metrics,
Schematic,
Hardware safety requirements specification,
Hardware design specification,
Hardware safety analysis report</t>
  </si>
  <si>
    <t>Review report of evaluation of the effectiveness of the architecture of the item to cope with the
random hardware failures</t>
  </si>
  <si>
    <t>ISO 26262-5
Clause 9</t>
  </si>
  <si>
    <t>5.11</t>
  </si>
  <si>
    <t>ISO 26262-5, 9.5.1</t>
  </si>
  <si>
    <t>Analysis of safety goal violations due to random hardware failures</t>
  </si>
  <si>
    <t>Objective acc. the standard ISO 26262-5:
This requirement applies to ASIL (B), C and D of the safety goal.
The objective of the requirements in this clause is to make available criteria that can be used in a rationale that the residual risk of a safety goal violation, due to random hardware failures of the item, is sufficiently low.
Objective for item under developement after tailoring:
Tier1 is responsible for Evaluation of Probabilistic Metric for random Hardware Failures (PMHF).</t>
  </si>
  <si>
    <t>Hardware safety analysis report,
Hardware safety requirement specification,
Hardware design specification</t>
  </si>
  <si>
    <t>5.12</t>
  </si>
  <si>
    <t>ISO 26262-5, 9.5.2</t>
  </si>
  <si>
    <t>Specification of dedicated measures for hardware
(if needed)</t>
  </si>
  <si>
    <t xml:space="preserve">Objective acc. the standard ISO 26262-5:
Objective for item under developement after tailoring:
</t>
  </si>
  <si>
    <t>In responsibility of Tier1.</t>
  </si>
  <si>
    <t>5.13</t>
  </si>
  <si>
    <t>ISO 26262-5, 9.5.3</t>
  </si>
  <si>
    <t>Verification review report of evaluation of safety goal violations due to random hardware failures</t>
    <phoneticPr fontId="28" type="noConversion"/>
  </si>
  <si>
    <t xml:space="preserve">Objective acc. the standard ISO 26262-5:
This requirement applies to ASIL (B), C, and D of the safety goal. A verification review of the analysis resulting from the set of requirements 9.4.2 or 9.4.3 shall be performed in order to provide evidence of its technical correctness and completeness in accordance with ISO 26262-8:2018, Clause 9.
</t>
  </si>
  <si>
    <t>Review report of evaluation of safety goal violations due to random hardware failures</t>
  </si>
  <si>
    <t>ISO 26262-5
Clause 10</t>
  </si>
  <si>
    <t>Hardware integration and testing</t>
  </si>
  <si>
    <t>5.14</t>
  </si>
  <si>
    <t>ISO 26262-5, 10.5.1</t>
  </si>
  <si>
    <t>Hardware integration and verification specification</t>
    <phoneticPr fontId="28" type="noConversion"/>
  </si>
  <si>
    <t xml:space="preserve">Objective acc. the standard ISO 26262-5:
The objective of this clause is to ensure, by testing, the compliance of the developed hardware with the hardware safety requirements.
The requirements in 10.4.1 to 10.4.6 apply to the hardware of an element
NOTE If ASIL decomposition is applied, as defined in ISO 26262-9:2018, Clause 5, the corresponding integration activities of the decomposed elements, and the subsequent activities, are applied at the ASIL before decomposition.
Objective for item under developement after tailoring:
Test cases shall be defined by Tier1 (in collaboration with OEM if necessary).
The hardware testing activities shall verify the completeness and correctness of the implementation of the safety mechanisms with respect to the hardware safety requirements.
</t>
  </si>
  <si>
    <t>Hardware integration and testing report</t>
  </si>
  <si>
    <t>5.15</t>
    <phoneticPr fontId="28" type="noConversion"/>
  </si>
  <si>
    <t>ISO 26262-5, 10.5.2</t>
    <phoneticPr fontId="28" type="noConversion"/>
  </si>
  <si>
    <t>Hardware integration and verification report</t>
    <phoneticPr fontId="28" type="noConversion"/>
  </si>
  <si>
    <t>ISO 26262-6</t>
  </si>
  <si>
    <t>Product development at the software level</t>
  </si>
  <si>
    <t>ISO 26262-6
Clause 5</t>
  </si>
  <si>
    <t>Initiation of product development at the software level</t>
  </si>
  <si>
    <t>6.1</t>
  </si>
  <si>
    <t>ISO 26262-6, 5.5.1</t>
  </si>
  <si>
    <t xml:space="preserve">Objective acc. the standard ISO 26262-6:
The objective of this sub-phase is to plan and initiate the functional safety activities for the sub-phases of the software development.
The software development sub-phases and supporting processes are initiated by determining the appropriate methods in order to comply with the requirements and their respective ASIL. The methods are supported by guidelines and tools, which are determined and planned for each sub-phase and supporting process.
The requirements in 5.4.1 to 5.4.7 apply.
</t>
  </si>
  <si>
    <t>Project plan,
Safety plan, 
Technical safety concept,
System design spec.
Item integration and testing plan</t>
  </si>
  <si>
    <t>6.2</t>
  </si>
  <si>
    <t>ISO 26262-6, 5.5.1</t>
    <phoneticPr fontId="28" type="noConversion"/>
  </si>
  <si>
    <t>Software verification plan</t>
  </si>
  <si>
    <t xml:space="preserve">Objective acc. the standard ISO 26262-6:
The objective of this sub-phase is to plan and initiate the functional safety activities for the sub-phases of the software development.
The requirements in 5.4.1 to 5.4.5and 5.4.7 apply.
</t>
  </si>
  <si>
    <t>6.3</t>
  </si>
  <si>
    <t>Documentation of the software development environment</t>
    <phoneticPr fontId="28" type="noConversion"/>
  </si>
  <si>
    <r>
      <t xml:space="preserve">Objective acc. the standard ISO 26262-6:
Criteria shall be considered when selecting a suitable modelling or programming language
To support the correctness of the design and implementation, the design and coding guidelines for the modelling, or programming languages, shall address the topics listed in Table 1.
The requirements in 5.4.6 and 5.4.7 apply.
</t>
    </r>
    <r>
      <rPr>
        <sz val="10"/>
        <rFont val="Arial"/>
        <family val="2"/>
      </rPr>
      <t xml:space="preserve">
</t>
    </r>
  </si>
  <si>
    <t>Design and coding guidelines for modelling and programming languages</t>
  </si>
  <si>
    <t>ISO 26262-6
Clause 6</t>
  </si>
  <si>
    <t>Specification of software safety requirements</t>
  </si>
  <si>
    <t>6.5</t>
  </si>
  <si>
    <t>ISO 26262-6, 6.5.1</t>
  </si>
  <si>
    <t>Software safety requirements specification</t>
  </si>
  <si>
    <r>
      <t xml:space="preserve">Objective acc. the standard ISO 26262-6:
The first objective of this sub-phase is to specify the software safety requirements. They are derived from the technical safety concept and the system design specification.
The requirements in 6.4.1 to 6.4.3 and 6.4.5 apply.
</t>
    </r>
    <r>
      <rPr>
        <sz val="10"/>
        <rFont val="Arial"/>
        <family val="2"/>
      </rPr>
      <t xml:space="preserve">
</t>
    </r>
  </si>
  <si>
    <t xml:space="preserve">Technical safety concept, 
System design specification,
</t>
  </si>
  <si>
    <t>6.6</t>
  </si>
  <si>
    <t>ISO 26262-6, 6.5.2</t>
  </si>
  <si>
    <t xml:space="preserve">Objective acc. the standard ISO 26262-6:
The second objective is to detail the hardware-software interface requirements initiated in ISO 26262-4:2018, Clause 7.
The requirements in 6.4.4 apply.
</t>
  </si>
  <si>
    <t>Hardware-software interface specification,</t>
  </si>
  <si>
    <t>6.7</t>
    <phoneticPr fontId="28" type="noConversion"/>
  </si>
  <si>
    <t>ISO 26262-6, 6.5.3</t>
    <phoneticPr fontId="28" type="noConversion"/>
  </si>
  <si>
    <t>Software verification report</t>
  </si>
  <si>
    <t xml:space="preserve">Objective acc. the standard ISO 26262-6:
The third objective is to verify that the software safety requirements and the hardware-software interface requirements are consistent with the technical safety concept and the system design specification.
The requirements in 6.4.6 and 6.4.7 apply.
</t>
    <phoneticPr fontId="28" type="noConversion"/>
  </si>
  <si>
    <t>ISO 26262-6
Clause 7</t>
  </si>
  <si>
    <t>Software architectural design</t>
  </si>
  <si>
    <t>6.8</t>
    <phoneticPr fontId="28" type="noConversion"/>
  </si>
  <si>
    <t>ISO 26262-6, 7.5.1</t>
  </si>
  <si>
    <t>Software architectural design specification</t>
  </si>
  <si>
    <r>
      <t xml:space="preserve">Objective acc. the standard ISO 26262-6:
The first objective of this sub-phase is to develop a software architectural design that realizes the software safety requirements.
The second objective of this sub-phase is to verify the software architectural design.
The requirements in 7.4.1 to 7.4.6, 7.4.9, 7.4.10, 7.4.14, 7.4.15 and 7.4.17 apply.
</t>
    </r>
    <r>
      <rPr>
        <sz val="10"/>
        <rFont val="Arial"/>
        <family val="2"/>
      </rPr>
      <t xml:space="preserve">
</t>
    </r>
  </si>
  <si>
    <t>hardware-software interface specification, software safety requirements specification, software verification plan (refined), software verification report</t>
  </si>
  <si>
    <t>6.9</t>
    <phoneticPr fontId="28" type="noConversion"/>
  </si>
  <si>
    <t>ISO 26262-6, 7.5.2</t>
    <phoneticPr fontId="28" type="noConversion"/>
  </si>
  <si>
    <t xml:space="preserve">Objective acc. the standard ISO 26262-6:
Safety analysis shall be carried out at the software architectural level in accordance withISO 26262-9:2018, Clause 8, in order to:
-  identify or confirm the safety-related parts of the software; and
-  support the specification and verify the efficiency of the safety mechanisms.
The requirements in 7.4.13 applied.
</t>
  </si>
  <si>
    <t>6.10</t>
    <phoneticPr fontId="28" type="noConversion"/>
  </si>
  <si>
    <t>ISO 26262-6, 7.5.3</t>
    <phoneticPr fontId="28" type="noConversion"/>
  </si>
  <si>
    <t>Dependent failures analysis report</t>
  </si>
  <si>
    <t xml:space="preserve">Objective acc. the standard ISO 26262-6:
An analysis of dependent failures in accordance with ISO 26262-9:2018, Clause 7, shall be carried out if the implementation of software safety requirements relies on freedom from interference or sufficient
independence between software components.
The requirements in 7.4.12 apply.
</t>
  </si>
  <si>
    <t>6.11</t>
    <phoneticPr fontId="28" type="noConversion"/>
  </si>
  <si>
    <t>ISO 26262-6, 7.5.4</t>
    <phoneticPr fontId="28" type="noConversion"/>
  </si>
  <si>
    <t xml:space="preserve">Software verification report </t>
    <phoneticPr fontId="28" type="noConversion"/>
  </si>
  <si>
    <t xml:space="preserve">Objective acc. the standard ISO 26262-6:
The software architectural design shall be verified in accordance with ISO 26262-8:2018, Clause 9, and by using the software architectural design verification methods listed in Table 6.
The requirements in 7.4.18 apply.
</t>
  </si>
  <si>
    <t>software verification report,</t>
  </si>
  <si>
    <t>Software verification report (refined)</t>
  </si>
  <si>
    <t>ISO 26262-6
Clause 8</t>
  </si>
  <si>
    <t>Software unit design and implementation</t>
  </si>
  <si>
    <t>6.12</t>
    <phoneticPr fontId="28" type="noConversion"/>
  </si>
  <si>
    <t>ISO 26262-6, 8.5.1</t>
  </si>
  <si>
    <t>Software unit design specification</t>
  </si>
  <si>
    <r>
      <t xml:space="preserve">Objective acc. the standard ISO 26262-6:
The first objective of this sub-phase is to specify the software units in accordance with the software architectural design and the associated software safety requirements.
The requirements in 8.4.2 to 8.4.5 apply.
</t>
    </r>
    <r>
      <rPr>
        <sz val="10"/>
        <color indexed="10"/>
        <rFont val="Arial"/>
        <family val="2"/>
      </rPr>
      <t xml:space="preserve">
</t>
    </r>
    <r>
      <rPr>
        <sz val="10"/>
        <rFont val="Arial"/>
        <family val="2"/>
      </rPr>
      <t xml:space="preserve">
</t>
    </r>
    <phoneticPr fontId="28" type="noConversion"/>
  </si>
  <si>
    <t>software verification plan, software architectural design specification, software safety requirements specification, software verification report</t>
  </si>
  <si>
    <t>6.13</t>
    <phoneticPr fontId="28" type="noConversion"/>
  </si>
  <si>
    <t>ISO 26262-6, 8.5.2</t>
  </si>
  <si>
    <t>Software unit implementation</t>
  </si>
  <si>
    <t xml:space="preserve">Objective acc. the standard ISO 26262-6:
The second objective of this sub-phase is to implement the software units as specified.
The requirements in 8.4.5 apply.
</t>
    <phoneticPr fontId="28" type="noConversion"/>
  </si>
  <si>
    <t>ISO 26262-6
Clause 9</t>
  </si>
  <si>
    <t>Software unit testing</t>
  </si>
  <si>
    <t>6.14</t>
    <phoneticPr fontId="28" type="noConversion"/>
  </si>
  <si>
    <t>ISO 26262-6, 9.5.1</t>
  </si>
  <si>
    <t>Software verification plan (refined)</t>
  </si>
  <si>
    <r>
      <t xml:space="preserve">Objective acc. the standard ISO 26262-6:
The objective of this sub-phase is to demonstrate that the software units fulfil the software unit design specifications and do not contain undesired functionality.
The requirements in 9.4.2 to 9.4.6 apply.
</t>
    </r>
    <r>
      <rPr>
        <sz val="10"/>
        <rFont val="Arial"/>
        <family val="2"/>
      </rPr>
      <t xml:space="preserve">
</t>
    </r>
  </si>
  <si>
    <t>Software verification plan 
(refined)</t>
  </si>
  <si>
    <t>6.15</t>
    <phoneticPr fontId="28" type="noConversion"/>
  </si>
  <si>
    <t>ISO 26262-6, 9.5.1</t>
    <phoneticPr fontId="28" type="noConversion"/>
  </si>
  <si>
    <t>Software verification specification</t>
  </si>
  <si>
    <t xml:space="preserve">Objective acc. the standard ISO 26262-6:
Software unit testing shall be planned, specified and executed in accordance with ISO 26262-8:2018, Clause 9.
The requirements in 9.4.2 and 9.4.4 to 9.4.5 apply.
</t>
    <phoneticPr fontId="28" type="noConversion"/>
  </si>
  <si>
    <t>hw-sw interface specification, software verification plan, software unit design specification, software unit implementation, sw verification report</t>
  </si>
  <si>
    <t>6.16</t>
    <phoneticPr fontId="28" type="noConversion"/>
  </si>
  <si>
    <t>ISO 26262-6, 9.5.2</t>
    <phoneticPr fontId="28" type="noConversion"/>
  </si>
  <si>
    <t xml:space="preserve">Objective acc. the standard ISO 26262-6:
The requirements in 9.4.2 apply.
</t>
  </si>
  <si>
    <t>Software verification report 
(refined)</t>
  </si>
  <si>
    <t>ISO 26262-6
Clause 10</t>
  </si>
  <si>
    <t>Software integration and testing</t>
  </si>
  <si>
    <t>6.17</t>
    <phoneticPr fontId="28" type="noConversion"/>
  </si>
  <si>
    <t>ISO 26262-6, 10.5.1</t>
  </si>
  <si>
    <t xml:space="preserve">Objective acc. the standard ISO 26262-6:
The first objective of this sub-phase is to integrate the software elements.
The second objective of this sub-phase is to demonstrate that the software architectural design is realized by the embedded software.
The requirements in 10.4.1 to 10.4.6 and 10.4.8 apply.
</t>
  </si>
  <si>
    <t>software verification plan</t>
  </si>
  <si>
    <t>6.18</t>
    <phoneticPr fontId="28" type="noConversion"/>
  </si>
  <si>
    <t>ISO 26262-6, 10.5.1</t>
    <phoneticPr fontId="28" type="noConversion"/>
  </si>
  <si>
    <t>Software verification specification (refined)</t>
  </si>
  <si>
    <t xml:space="preserve">Objective acc. the standard ISO 26262-6:
The requirements in 10.4.2, 10.4.4, 10.4.5, 10.4.7 and 10.4.8 apply.
</t>
    <phoneticPr fontId="28" type="noConversion"/>
  </si>
  <si>
    <t>software verification specification</t>
  </si>
  <si>
    <t>6.19</t>
    <phoneticPr fontId="28" type="noConversion"/>
  </si>
  <si>
    <t>ISO 26262-6, 10.5.3</t>
  </si>
  <si>
    <t>Embedded software</t>
  </si>
  <si>
    <t xml:space="preserve">Objective acc. the standard ISO 26262-6:
The planning of the software integration shall describe the stECU for integrating the individual software units hierarchically into software components until the embedded software is fully integrated, and shall
consider: a) the functional dependencies that are relevant for software integration; and b) the dependencies between the software integration and the hardware-software integration.
The requirements in 10.4.1 apply.
</t>
  </si>
  <si>
    <t>6.20</t>
    <phoneticPr fontId="28" type="noConversion"/>
  </si>
  <si>
    <t>ISO 26262-6, 10.5.3</t>
    <phoneticPr fontId="28" type="noConversion"/>
  </si>
  <si>
    <t xml:space="preserve">Objective acc. the standard ISO 26262-6:
The requirements in 10.4.2 apply.
</t>
  </si>
  <si>
    <t>ISO 26262-6
Clause 11</t>
  </si>
  <si>
    <t>Verification of software safety requirements</t>
  </si>
  <si>
    <t>6.21</t>
    <phoneticPr fontId="28" type="noConversion"/>
  </si>
  <si>
    <t>ISO 26262-6, 11.5.1</t>
  </si>
  <si>
    <t xml:space="preserve">Objective acc. the standard ISO 26262-6:
The objective of this sub-phase is to demonstrate that the embedded software fulfils the software safety requirements.
The requirements in 11.4.1 to 11.4.3 apply.
</t>
  </si>
  <si>
    <t>6.22</t>
    <phoneticPr fontId="28" type="noConversion"/>
  </si>
  <si>
    <t>ISO 26262-6, 11.5.1</t>
    <phoneticPr fontId="28" type="noConversion"/>
  </si>
  <si>
    <t xml:space="preserve">Objective acc. the standard ISO 26262-6:
The requirements in 11.4.1 to 11.4.3 apply.
</t>
  </si>
  <si>
    <t>6.23</t>
    <phoneticPr fontId="28" type="noConversion"/>
  </si>
  <si>
    <t>ISO 26262-6, 11.5.2</t>
    <phoneticPr fontId="28" type="noConversion"/>
  </si>
  <si>
    <t xml:space="preserve">Objective acc. the standard ISO 26262-6:
The requirements in 11.4.1 to 11.4.4 apply.
</t>
  </si>
  <si>
    <t>C</t>
  </si>
  <si>
    <t>ISO 26262-6,
Annex C</t>
  </si>
  <si>
    <t>Software configuration</t>
  </si>
  <si>
    <t>C.1</t>
  </si>
  <si>
    <t>C.5.1</t>
  </si>
  <si>
    <t>Configuration data specification</t>
    <phoneticPr fontId="28" type="noConversion"/>
  </si>
  <si>
    <t xml:space="preserve">The configuration data shall be specified to ensure the correct usage of the configurable software during the safety lifecycle.
The ASIL of the configuration data shall equal the highest ASIL of the configurable software by which it is used.
</t>
  </si>
  <si>
    <t>C.2</t>
  </si>
  <si>
    <t>C.5.2</t>
  </si>
  <si>
    <t>Calibration data specification</t>
    <phoneticPr fontId="28" type="noConversion"/>
  </si>
  <si>
    <t xml:space="preserve">The calibration data associated with software components shall be specified to ensure the correct operation and expected performance of the configured software.
</t>
  </si>
  <si>
    <t>C.4</t>
  </si>
  <si>
    <t>C.5.3</t>
    <phoneticPr fontId="28" type="noConversion"/>
  </si>
  <si>
    <t>Configuration data</t>
    <phoneticPr fontId="28" type="noConversion"/>
  </si>
  <si>
    <t xml:space="preserve">Objective acc. the standard ISO 26262-6 / C
</t>
  </si>
  <si>
    <t>C.5</t>
  </si>
  <si>
    <t>C.5.4</t>
    <phoneticPr fontId="28" type="noConversion"/>
  </si>
  <si>
    <t>Calibration data</t>
    <phoneticPr fontId="28" type="noConversion"/>
  </si>
  <si>
    <t xml:space="preserve">The ASIL of the calibration data shall equal the highest ASIL of the software safety requirements it can violate.
</t>
  </si>
  <si>
    <t>C.6</t>
  </si>
  <si>
    <t>C.5.5</t>
    <phoneticPr fontId="28" type="noConversion"/>
  </si>
  <si>
    <t>Software verification plan (refined)</t>
    <phoneticPr fontId="28" type="noConversion"/>
  </si>
  <si>
    <t xml:space="preserve">Objective acc. the standard ISO 26262-7:
</t>
  </si>
  <si>
    <t>C.7</t>
  </si>
  <si>
    <t xml:space="preserve">Verification specification </t>
    <phoneticPr fontId="28" type="noConversion"/>
  </si>
  <si>
    <t xml:space="preserve">The verification of the calibration data shall be planned, specified and executed in accordance with ISO 26262-8:2018, Clause 9. The verification of calibration data shall examine whether the calibration data is within its specified boundaries.
</t>
  </si>
  <si>
    <t>C.8</t>
  </si>
  <si>
    <t>C.5.6</t>
    <phoneticPr fontId="28" type="noConversion"/>
  </si>
  <si>
    <t xml:space="preserve">Verification report </t>
    <phoneticPr fontId="28" type="noConversion"/>
  </si>
  <si>
    <t>C.5.7</t>
    <phoneticPr fontId="28" type="noConversion"/>
  </si>
  <si>
    <t>Software architectural design specification(refined)</t>
    <phoneticPr fontId="28" type="noConversion"/>
  </si>
  <si>
    <t xml:space="preserve">Objective acc. the standard ISO 26262-6 / C.4.10
</t>
    <phoneticPr fontId="28" type="noConversion"/>
  </si>
  <si>
    <t>C.5.8</t>
    <phoneticPr fontId="28" type="noConversion"/>
  </si>
  <si>
    <t>Documentation of the (refined)</t>
    <phoneticPr fontId="28" type="noConversion"/>
  </si>
  <si>
    <t xml:space="preserve">Objective acc. the standard ISO 26262-6 / C.4.1-C.4.11
</t>
    <phoneticPr fontId="28" type="noConversion"/>
  </si>
  <si>
    <t>ISO 26262-7</t>
  </si>
  <si>
    <t>Production, operation, service and decommission</t>
    <phoneticPr fontId="28" type="noConversion"/>
  </si>
  <si>
    <t>ISO 26262-7
Clause 5</t>
  </si>
  <si>
    <t>Planning for production, operation, service and decommission</t>
    <phoneticPr fontId="28" type="noConversion"/>
  </si>
  <si>
    <t>7.1</t>
  </si>
  <si>
    <t>ISO 26262-7, 5.5.1</t>
  </si>
  <si>
    <t>Safety-related content of the production plan</t>
  </si>
  <si>
    <t>Objective acc. the standard ISO 26262-7:
The first objective of this clause is to develop and maintain a production process for safety-related elements or items that are intended to be installed in road vehicles.
The second objective is to achieve functional safety during the production process by the relevant manufacturer or the person or organisation responsible for the process (vehicle manufacturer, supplier, sub supplier, etc.).
Objective for item under developement after tailoring:
Production plan of the item.</t>
  </si>
  <si>
    <t>· Specification of requirements related to operation, service and decommissioning,
· Release for production report,
· Specification of dedicated measures for hardware in accordance with ISO 26262-5:2018, 9.5.2</t>
  </si>
  <si>
    <t>7.2</t>
  </si>
  <si>
    <t>ISO 26262-7, 5.5.2</t>
  </si>
  <si>
    <t>Safety-related content of the production control plan, including test plan</t>
    <phoneticPr fontId="28" type="noConversion"/>
  </si>
  <si>
    <t>Safety related content of the production plan</t>
  </si>
  <si>
    <t>Safety-related content of the production control plan</t>
  </si>
  <si>
    <t>7.3</t>
    <phoneticPr fontId="28" type="noConversion"/>
  </si>
  <si>
    <t>ISO 26262-7, 5.5.3</t>
    <phoneticPr fontId="28" type="noConversion"/>
  </si>
  <si>
    <t>Producibility requirements specification</t>
    <phoneticPr fontId="28" type="noConversion"/>
  </si>
  <si>
    <t xml:space="preserve">Objective acc. the standard ISO 26262-7:
Objective for item under developement after tailoring:
Shall be done during HW development.
</t>
  </si>
  <si>
    <t>7.4</t>
    <phoneticPr fontId="28" type="noConversion"/>
  </si>
  <si>
    <t>ISO 26262-7, 5.5.4</t>
    <phoneticPr fontId="28" type="noConversion"/>
  </si>
  <si>
    <t>Production process capability report</t>
    <phoneticPr fontId="28" type="noConversion"/>
  </si>
  <si>
    <t xml:space="preserve">Objective acc. the standard ISO 26262-7:
</t>
    <phoneticPr fontId="28" type="noConversion"/>
  </si>
  <si>
    <t>Tier1 shall plan and carry out an assessment for capability of the production process according an ASIL D subsystem.</t>
  </si>
  <si>
    <t>Safety-related content of the production plan,
Safety-related content of the production control plan,
Control measure report</t>
  </si>
  <si>
    <t>7.5</t>
    <phoneticPr fontId="28" type="noConversion"/>
  </si>
  <si>
    <t>ISO 26262-7, 5.5.5</t>
  </si>
  <si>
    <t>Safety-related content of the service plan</t>
    <phoneticPr fontId="28" type="noConversion"/>
  </si>
  <si>
    <t xml:space="preserve">Objective acc. the standard ISO 26262-7:
</t>
    <phoneticPr fontId="28" type="noConversion"/>
  </si>
  <si>
    <t>7.6</t>
    <phoneticPr fontId="28" type="noConversion"/>
  </si>
  <si>
    <t>ISO 26262-7, 5.5.6</t>
    <phoneticPr fontId="28" type="noConversion"/>
  </si>
  <si>
    <t>Safety-related content of the service instructions</t>
    <phoneticPr fontId="28" type="noConversion"/>
  </si>
  <si>
    <t>7.7</t>
    <phoneticPr fontId="28" type="noConversion"/>
  </si>
  <si>
    <t>ISO 26262-7, 5.5.7</t>
    <phoneticPr fontId="28" type="noConversion"/>
  </si>
  <si>
    <t>Safety-related content of the information made available to the user</t>
    <phoneticPr fontId="28" type="noConversion"/>
  </si>
  <si>
    <t>7.8</t>
    <phoneticPr fontId="28" type="noConversion"/>
  </si>
  <si>
    <t>ISO 26262-7, 5.5.8</t>
    <phoneticPr fontId="28" type="noConversion"/>
  </si>
  <si>
    <t>Safety-related content of the decommissioning instructions</t>
    <phoneticPr fontId="28" type="noConversion"/>
  </si>
  <si>
    <t>7.9</t>
    <phoneticPr fontId="28" type="noConversion"/>
  </si>
  <si>
    <t>ISO 26262-7, 5.5.9</t>
    <phoneticPr fontId="28" type="noConversion"/>
  </si>
  <si>
    <t>Operation, service and decommission requirements specification</t>
    <phoneticPr fontId="28" type="noConversion"/>
  </si>
  <si>
    <t>7.10</t>
    <phoneticPr fontId="28" type="noConversion"/>
  </si>
  <si>
    <t>ISO 26262-7, 5.5.10</t>
    <phoneticPr fontId="28" type="noConversion"/>
  </si>
  <si>
    <t>Safety-related conent of the rescue services instructions</t>
    <phoneticPr fontId="28" type="noConversion"/>
  </si>
  <si>
    <t>ISO 26262-7
Clause 6</t>
  </si>
  <si>
    <t>Production</t>
    <phoneticPr fontId="28" type="noConversion"/>
  </si>
  <si>
    <t>7.11</t>
    <phoneticPr fontId="28" type="noConversion"/>
  </si>
  <si>
    <t>ISO 26262-7, 6.5.1</t>
  </si>
  <si>
    <t>Control measures report</t>
    <phoneticPr fontId="28" type="noConversion"/>
  </si>
  <si>
    <t>Requirements specification for production, operation, service and decommissioning,
Release for production report,
Warning and degradation concept, included in the functional safety concept</t>
  </si>
  <si>
    <t>7.12</t>
    <phoneticPr fontId="28" type="noConversion"/>
  </si>
  <si>
    <t>ISO 26262-7, 6.5.2</t>
  </si>
  <si>
    <t>see above</t>
  </si>
  <si>
    <t>ISO 26262-7
Clause 7</t>
    <phoneticPr fontId="28" type="noConversion"/>
  </si>
  <si>
    <t>Operation, service and decommission</t>
    <phoneticPr fontId="28" type="noConversion"/>
  </si>
  <si>
    <t>7.13</t>
    <phoneticPr fontId="28" type="noConversion"/>
  </si>
  <si>
    <t>ISO 26262-7, 7.5.1</t>
    <phoneticPr fontId="28" type="noConversion"/>
  </si>
  <si>
    <t>Field observation instructions</t>
    <phoneticPr fontId="28" type="noConversion"/>
  </si>
  <si>
    <t>ISO 26262-8</t>
  </si>
  <si>
    <t>Supporting processes</t>
  </si>
  <si>
    <t>ISO 26262-8
Clause 5</t>
  </si>
  <si>
    <t>Interfaces within distributed developments</t>
  </si>
  <si>
    <t>8.1</t>
  </si>
  <si>
    <t>ISO 26262-8, 5.5.1</t>
  </si>
  <si>
    <t>Supplier selection report</t>
  </si>
  <si>
    <t xml:space="preserve">Objective acc. the standard ISO 26262-8:
The objective of this clause is to describe the procedures and to allocate associated responsibilities within distributed developments for items and elements.
</t>
  </si>
  <si>
    <t>Selecting a supplier, confirm that the supplier has capability and qualification conforming to functional safety standard.</t>
  </si>
  <si>
    <t>See prerequisites of the
relevant phases of the safety
lifecycle for which the
distributed development is
carried out.</t>
  </si>
  <si>
    <t>8.2</t>
  </si>
  <si>
    <t>ISO 26262-8, 5.5.2</t>
  </si>
  <si>
    <t>Development interface agreement (DIA)</t>
  </si>
  <si>
    <t xml:space="preserve">Objective acc. the standard ISO 26262-8:
see above
</t>
  </si>
  <si>
    <t>Tier1 shall prepare a DIA for the development with the OEM for the item (in collaboration with OEM)</t>
  </si>
  <si>
    <t>The draft version of development interface agreement (DIA) (from external source);
the supplier’s tender based on a request for quotation (RFQ)</t>
  </si>
  <si>
    <t>DIA</t>
  </si>
  <si>
    <t>8.3</t>
    <phoneticPr fontId="28" type="noConversion"/>
  </si>
  <si>
    <t>ISO 26262-8, 5.5.3</t>
    <phoneticPr fontId="28" type="noConversion"/>
  </si>
  <si>
    <t>Supplier's safety plan</t>
  </si>
  <si>
    <t>8.4</t>
    <phoneticPr fontId="28" type="noConversion"/>
  </si>
  <si>
    <t>ISO 26262-8, 5.5.4</t>
    <phoneticPr fontId="28" type="noConversion"/>
  </si>
  <si>
    <t>Functional safety assessment report</t>
  </si>
  <si>
    <t>Supplier's assessment safety report</t>
  </si>
  <si>
    <t>8.5</t>
    <phoneticPr fontId="28" type="noConversion"/>
  </si>
  <si>
    <t>ISO 26262-8, 5.5.5</t>
    <phoneticPr fontId="28" type="noConversion"/>
  </si>
  <si>
    <t>Supply agreement</t>
  </si>
  <si>
    <r>
      <t xml:space="preserve">Objective acc. the standard ISO 26262-8:
see above
</t>
    </r>
    <r>
      <rPr>
        <u/>
        <sz val="10"/>
        <rFont val="Arial"/>
        <family val="2"/>
      </rPr>
      <t/>
    </r>
  </si>
  <si>
    <t>Supplier's aupply agreement</t>
  </si>
  <si>
    <t>ISO 26262-8
Clause 7</t>
  </si>
  <si>
    <t>Configuration management</t>
  </si>
  <si>
    <t>8.6</t>
    <phoneticPr fontId="28" type="noConversion"/>
  </si>
  <si>
    <t>ISO 26262-8, 7.5.1</t>
  </si>
  <si>
    <t>Configuration management plan</t>
  </si>
  <si>
    <t xml:space="preserve">Objective acc. the standard ISO 26262-8:
The first objective is to ensure that the work products, and the principles and general conditions of their creation, can be uniquely identified and reproduced in a controlled manner at any time.
The second objective is to ensure that the relations and differences between earlier and current versions can be traced.
</t>
  </si>
  <si>
    <t>Preparation of a Configuration
 management plan for the project.</t>
  </si>
  <si>
    <t>Safety plan,
Applicable prerequisites of the relevant phases of the safety lifecycle where configuration management is
planned or managed</t>
  </si>
  <si>
    <t>ISO 26262-8
Clause 8</t>
  </si>
  <si>
    <t>Change management</t>
  </si>
  <si>
    <t>8.7</t>
    <phoneticPr fontId="28" type="noConversion"/>
  </si>
  <si>
    <t>ISO 26262-8, 8.5.1</t>
    <phoneticPr fontId="28" type="noConversion"/>
  </si>
  <si>
    <t>Change management plan</t>
  </si>
  <si>
    <t>Objective acc. the standard ISO 26262-8:
The objective of change management is to analyse and control changes to safety-related work products throughout the safety lifecycle.</t>
  </si>
  <si>
    <t>Change management plan for the project.</t>
  </si>
  <si>
    <t>Safety plan,
Configuration management plan</t>
  </si>
  <si>
    <t>8.8</t>
    <phoneticPr fontId="28" type="noConversion"/>
  </si>
  <si>
    <t>ISO 26262-8, 8.5.2</t>
    <phoneticPr fontId="28" type="noConversion"/>
  </si>
  <si>
    <t>Change request</t>
  </si>
  <si>
    <t>Objective acc. the standard ISO 26262-8:
see above</t>
  </si>
  <si>
    <t>Change request for the project.</t>
  </si>
  <si>
    <t>8.9</t>
    <phoneticPr fontId="28" type="noConversion"/>
  </si>
  <si>
    <t>ISO 26262-8, 8.5.3</t>
  </si>
  <si>
    <t>Impact analysis and change request plan</t>
  </si>
  <si>
    <t>8.10</t>
    <phoneticPr fontId="28" type="noConversion"/>
  </si>
  <si>
    <t>ISO 26262-8, 8.5.4</t>
  </si>
  <si>
    <t>Change report</t>
  </si>
  <si>
    <t>ISO 26262-8
Clause 9</t>
  </si>
  <si>
    <t>Verification</t>
  </si>
  <si>
    <t>8.11</t>
    <phoneticPr fontId="28" type="noConversion"/>
  </si>
  <si>
    <t>ISO 26262-8, 9.5.1</t>
  </si>
  <si>
    <t>Verification plan</t>
  </si>
  <si>
    <t xml:space="preserve">Objective acc. the standard ISO 26262-8:
The objective of verification is to ensure that the work products comply with their requirements.
</t>
  </si>
  <si>
    <t>Tier1 shall prepare a Verification plan for the project.</t>
  </si>
  <si>
    <t>See applicable prerequisites of the relevant phases of the safety lifecycle in which verification is planned or
carried out.</t>
  </si>
  <si>
    <t>8.12</t>
    <phoneticPr fontId="28" type="noConversion"/>
  </si>
  <si>
    <t>ISO 26262-8, 9.5.2</t>
  </si>
  <si>
    <t>Verification specification</t>
  </si>
  <si>
    <t>8.13</t>
    <phoneticPr fontId="28" type="noConversion"/>
  </si>
  <si>
    <t>ISO 26262-8, 9.5.3</t>
  </si>
  <si>
    <t>Verification report</t>
  </si>
  <si>
    <r>
      <t xml:space="preserve">Objective acc. the standard ISO 26262-8:
The objective of verification is to ensure that the work products comply with their requirements.
</t>
    </r>
    <r>
      <rPr>
        <sz val="10"/>
        <color indexed="10"/>
        <rFont val="Arial"/>
        <family val="2"/>
      </rPr>
      <t/>
    </r>
  </si>
  <si>
    <t>ISO 26262-8
Clause 10</t>
  </si>
  <si>
    <t>Documentation Management</t>
    <phoneticPr fontId="28" type="noConversion"/>
  </si>
  <si>
    <t>8.14</t>
    <phoneticPr fontId="28" type="noConversion"/>
  </si>
  <si>
    <t>ISO 26262-8, 10.5.1</t>
  </si>
  <si>
    <t>Documentation management plan</t>
  </si>
  <si>
    <r>
      <t xml:space="preserve">Objective acc. the standard ISO 26262-8:
The primary objective is to develop a documentation management strategy for the entire safety lifecycle in order to facilitate an effective and repeatable documentation management process
</t>
    </r>
    <r>
      <rPr>
        <sz val="10"/>
        <rFont val="Arial"/>
        <family val="2"/>
      </rPr>
      <t>ent.</t>
    </r>
  </si>
  <si>
    <t>Safety plan,
Project plan</t>
  </si>
  <si>
    <t>Objective for subsystem XYZ after tailoring:</t>
  </si>
  <si>
    <t>Tier1 shall prepare a Documentation management plan for the project under developement.</t>
  </si>
  <si>
    <t>8.15</t>
    <phoneticPr fontId="28" type="noConversion"/>
  </si>
  <si>
    <t>ISO 26262-8, 10.5.2</t>
  </si>
  <si>
    <t>Documentation guideline requirements</t>
  </si>
  <si>
    <t>Objective acc. the standard ISO 26262-8:
see above
Objective for item under developement after tailoring:
Documentation guideline requirements for the project.</t>
  </si>
  <si>
    <t>ISO 26262-8
Clause 11</t>
  </si>
  <si>
    <t>Confidence in the use of software tools</t>
  </si>
  <si>
    <t>8.16</t>
    <phoneticPr fontId="28" type="noConversion"/>
  </si>
  <si>
    <t>ISO 26262-8, 11.5.1</t>
  </si>
  <si>
    <t>Software tool criteria evaluation report</t>
  </si>
  <si>
    <t xml:space="preserve">Objective acc. the standard ISO 26262-8:
The first objective of this clause is to provide criteria to determine the required level of confidence in a software tool when applicable.
The second objective of this clause is to provide means for the qualification of the software tool when applicable, in order to create evidence that the software tool is suitable to be used to tailor the activities or tasks required by ISO26262
</t>
  </si>
  <si>
    <t>Safety plan,
applicable prerequisites of the phases of the safety lifecycle where a software tool is used.
Evaluation plan of SW tools</t>
  </si>
  <si>
    <t>software tool criteria evaluation report</t>
  </si>
  <si>
    <t>8.17</t>
    <phoneticPr fontId="28" type="noConversion"/>
  </si>
  <si>
    <t>ISO 26262-8, 11.5.2</t>
  </si>
  <si>
    <t>Software tool qualification report</t>
  </si>
  <si>
    <t xml:space="preserve">Objective acc. the standard ISO 26262-8:
see above
</t>
  </si>
  <si>
    <t>Safety plan,
applicable prerequisites of the phases of the safety lifecycle where a software tool is used.</t>
  </si>
  <si>
    <t>software tool qualification report  incl. Restrictions for use</t>
  </si>
  <si>
    <t>ISO 26262-8
Clause 12</t>
  </si>
  <si>
    <t>Qualification of software components</t>
  </si>
  <si>
    <t>8.18</t>
    <phoneticPr fontId="28" type="noConversion"/>
  </si>
  <si>
    <t>ISO 26262-8, 12.5.1</t>
  </si>
  <si>
    <t>Software component documentation</t>
  </si>
  <si>
    <t xml:space="preserve">Objective acc. the standard ISO 26262-8:
</t>
  </si>
  <si>
    <t>8.19</t>
    <phoneticPr fontId="28" type="noConversion"/>
  </si>
  <si>
    <t>ISO 26262-8, 12.5.2</t>
  </si>
  <si>
    <t>Software component qualification report</t>
  </si>
  <si>
    <t xml:space="preserve">Objective acc. the standard ISO 26262-8:
</t>
  </si>
  <si>
    <t>8.20</t>
    <phoneticPr fontId="28" type="noConversion"/>
  </si>
  <si>
    <t>ISO 26262-8, 12.5.3</t>
  </si>
  <si>
    <t>Software component qualification verification report</t>
    <phoneticPr fontId="28" type="noConversion"/>
  </si>
  <si>
    <t>ISO 26262-8
Clause 13</t>
  </si>
  <si>
    <t>Qualification of hardware components</t>
  </si>
  <si>
    <t>8.21</t>
    <phoneticPr fontId="28" type="noConversion"/>
  </si>
  <si>
    <t>ISO 26262-8, 13.5.1</t>
  </si>
  <si>
    <t>Hardware element evaluation plan</t>
    <phoneticPr fontId="28" type="noConversion"/>
  </si>
  <si>
    <t xml:space="preserve">Objective acc. the standard ISO 26262-8:
The first objective of the qualification of hardware components is to provide evidence of the suitability of intermediate level hardware components and parts for their use as part of items, systems or elements, developed in compliance with ISO 26262, concerning their functional behaviour and their operational limitations for the purposes of the safety concept.
</t>
  </si>
  <si>
    <t>Related safety requirements,
Qualification criteria (analysis and tests) in accordance with ISO 26262-5:2018, Clause 6,
The manufacturer's hardware component or part specification, or, if unavailable, the assumptions on
hardware component or part specification (from an external source).</t>
  </si>
  <si>
    <t>Qualification plan for hardware component
(if applicable)</t>
  </si>
  <si>
    <t>8.22</t>
    <phoneticPr fontId="28" type="noConversion"/>
  </si>
  <si>
    <t>ISO 26262-8, 13.5.2</t>
  </si>
  <si>
    <t>Hardware element test plan</t>
    <phoneticPr fontId="28" type="noConversion"/>
  </si>
  <si>
    <t xml:space="preserve">Objective acc. the standard ISO 26262-8:
The second objective of the qualification of hardware components is to provide relevant information regarding:
- their failure modes,
- their failure mode distribution, and
- their diagnostic capability with respect to the safety concept for the item.
</t>
  </si>
  <si>
    <t>Hardware component test plan
(if applicable)</t>
  </si>
  <si>
    <t>8.23</t>
    <phoneticPr fontId="28" type="noConversion"/>
  </si>
  <si>
    <t>ISO 26262-8, 13.5.3</t>
  </si>
  <si>
    <t>Hardware element evaluation report for hardware elements</t>
    <phoneticPr fontId="28" type="noConversion"/>
  </si>
  <si>
    <t>Qualification report 
(if applicable)</t>
  </si>
  <si>
    <t>ISO 26262-8
Clause 14</t>
  </si>
  <si>
    <t xml:space="preserve">Proven in use </t>
  </si>
  <si>
    <t>8.24</t>
    <phoneticPr fontId="28" type="noConversion"/>
  </si>
  <si>
    <t>ISO 26262-8, 14.5.1</t>
    <phoneticPr fontId="28" type="noConversion"/>
  </si>
  <si>
    <t>Description of candidate for proven in use argument</t>
  </si>
  <si>
    <t>Not applicable</t>
  </si>
  <si>
    <t>8.25</t>
    <phoneticPr fontId="28" type="noConversion"/>
  </si>
  <si>
    <t>ISO 26262-8, 14.5.2</t>
    <phoneticPr fontId="28" type="noConversion"/>
  </si>
  <si>
    <t>Proven in use analysis reports</t>
  </si>
  <si>
    <t>e.g. analysis of field data to quality, faults, hazard events to evaluate the proven in use recommendations of ISO 26262.</t>
  </si>
  <si>
    <t>ISO 26262-9</t>
  </si>
  <si>
    <t>ISO 26262-9
Clause 5</t>
  </si>
  <si>
    <t>9.1</t>
  </si>
  <si>
    <t>ISO 26262-9, 5.5.1</t>
  </si>
  <si>
    <t>Update of architectural information</t>
  </si>
  <si>
    <t>Objective acc. the standard ISO 26262-9:
This clause provides rules and guidance for decomposing safety requirements into redundant safety requirements to allow ASIL tailoring at the next level of detail.
Objective for item under developement after tailoring:
ASIL decomposition is applied for ASIL D subsystem steering angel sensor.</t>
  </si>
  <si>
    <t>The safety requirements at the</t>
  </si>
  <si>
    <t>9.2</t>
  </si>
  <si>
    <t>ISO 26262-9, 5.5.2</t>
  </si>
  <si>
    <t>Update of ASIL as attribute of safety requirements and elements</t>
  </si>
  <si>
    <t xml:space="preserve">Objective acc. the standard ISO 26262-9:
see above
</t>
  </si>
  <si>
    <t>ISO 26262-9
Clause 6</t>
  </si>
  <si>
    <t>9.3</t>
  </si>
  <si>
    <t>ISO 26262-9, 6.5.1</t>
  </si>
  <si>
    <t>Update of ASIL as attribute of sub-elements of elements</t>
  </si>
  <si>
    <t>Objective acc. the standard ISO 26262-9:
This clause provides criteria for the coexistence within the same element of:
-  safety-related sub-elements with sub-elements that have no ASIL assigned; and
-  safety-related sub-elements that have different ASILs assigned.
Objective for item under developement after tailoring:
ASIL decomposition is applied with different ASIL for different subsystems.</t>
  </si>
  <si>
    <t>The safety requirements at the
level at which the analysis is to be
performed: system, or hardware, or
software.
The architectural information of the
element at the level at which the
analysis is to be performed:
system, or hardware, or software.
It's a refinement step during the design process. See ISO 26262-9,  6.4</t>
  </si>
  <si>
    <t>ISO 26262-9
Clause 7</t>
  </si>
  <si>
    <t>9.4</t>
  </si>
  <si>
    <t>ISO 26262-9, 7.5.1</t>
  </si>
  <si>
    <t>Analysis of dependent failures</t>
  </si>
  <si>
    <r>
      <t xml:space="preserve">Objective acc. the standard ISO 26262-9:
The analysis of dependent failures aims to identify the single events or single causes that could bypass or invalidate a required independence or freedom from interference between given elements and violate a safety requirement or a safety goal.
</t>
    </r>
    <r>
      <rPr>
        <sz val="10"/>
        <rFont val="Arial"/>
        <family val="2"/>
      </rPr>
      <t xml:space="preserve">
</t>
    </r>
  </si>
  <si>
    <t>The freedom from interference
requirements at the level at which
they are applied: system, or
hardware, or software.
The architectural information at the
level at which the independence or
freedom from interference
requirements are to be applied:
system, or hardware, or software.
Analysis dependent/commmen cause failures. See ISO 26262-9,  7</t>
  </si>
  <si>
    <t>Analysis of dependent failures</t>
    <phoneticPr fontId="28" type="noConversion"/>
  </si>
  <si>
    <t>9.5</t>
    <phoneticPr fontId="28" type="noConversion"/>
  </si>
  <si>
    <t>ISO 26262-9, 7.5.2</t>
    <phoneticPr fontId="28" type="noConversion"/>
  </si>
  <si>
    <t>Dependent Failures Analysis Verification Report</t>
    <phoneticPr fontId="28" type="noConversion"/>
  </si>
  <si>
    <t xml:space="preserve">Objective acc. the standard ISO 26262-9:7.4.9
</t>
    <phoneticPr fontId="28" type="noConversion"/>
  </si>
  <si>
    <t>ISO 26262-9
Clause 8</t>
  </si>
  <si>
    <t>Safety analyses</t>
  </si>
  <si>
    <t>9.5</t>
  </si>
  <si>
    <t>ISO 26262-9, 8.5.1</t>
  </si>
  <si>
    <r>
      <t xml:space="preserve">Objective acc. the standard ISO 26262-9:
The objective of safety analyses is to examine the consequences of faults and failures on the functions, behaviour and design of items and elements. Safety analyses also provide information on conditions and causes that could lead to the violation of a safety goal or safety requirement.
Additionally, the safety analyses also contribute to the identification of new functional or non-functional hazards not previously identified during the hazard analysis and risk assessment.
</t>
    </r>
    <r>
      <rPr>
        <sz val="10"/>
        <color indexed="10"/>
        <rFont val="Arial"/>
        <family val="2"/>
      </rPr>
      <t/>
    </r>
  </si>
  <si>
    <t>The safety requirements at the
level at which the safety analysis is
to be performed: system, or
hardware, or software.
The architectural information of the
element at the level at which the
safety analysis is to be performed:
system, or hardware, or software.
The safety plan.</t>
  </si>
  <si>
    <t>Safety analyses</t>
    <phoneticPr fontId="28" type="noConversion"/>
  </si>
  <si>
    <t>ISO 26262-9, 8.52</t>
    <phoneticPr fontId="28" type="noConversion"/>
  </si>
  <si>
    <t>Safety analyses verification report</t>
    <phoneticPr fontId="28" type="noConversion"/>
  </si>
  <si>
    <t>Objective acc. the standard ISO 26262-9: 8.4.8</t>
    <phoneticPr fontId="28" type="noConversion"/>
  </si>
  <si>
    <t xml:space="preserve">1.Description to headlines of sheet "3_Document_list" </t>
  </si>
  <si>
    <t>Part</t>
  </si>
  <si>
    <t>Refering part of ISO26262</t>
  </si>
  <si>
    <t xml:space="preserve">ISO 26262:2018 Work Products
</t>
  </si>
  <si>
    <t xml:space="preserve">Name of the work products </t>
  </si>
  <si>
    <t>Reference to Safety Plan</t>
  </si>
  <si>
    <t>The reference number to the
data sheet 2_Safety_plan</t>
  </si>
  <si>
    <t>initial/ refined</t>
  </si>
  <si>
    <r>
      <t>"Initial": Is the first version of a work product. In a real progress of a project the available information is not as datailed as at the end of a project which has to lead to a refinement of a document.
"Refined": shows that a certain stage of a project a document with the appropriate information should already be available.
"Refined" usually means in the corresponding phase of the project additions for the appropriate work product.</t>
    </r>
    <r>
      <rPr>
        <sz val="10"/>
        <color indexed="10"/>
        <rFont val="Arial"/>
        <family val="2"/>
      </rPr>
      <t xml:space="preserve">
</t>
    </r>
  </si>
  <si>
    <t>Link to
external
source</t>
  </si>
  <si>
    <t>Search link to an external Data base (e.g. Doors) where the document/the information is stored.
There might be multiple links if there are more than one external sources be needed. This should be done by adding rows.</t>
    <phoneticPr fontId="28" type="noConversion"/>
  </si>
  <si>
    <t>Details to ext. Source</t>
    <phoneticPr fontId="28" type="noConversion"/>
  </si>
  <si>
    <t>There should be information added to locate the needed information. 
With reference to: "Link to external source"</t>
    <phoneticPr fontId="28" type="noConversion"/>
  </si>
  <si>
    <t>Index</t>
  </si>
  <si>
    <t>Actual Index of the Source if applicable.</t>
  </si>
  <si>
    <t>Title/chapter of comprised work product</t>
  </si>
  <si>
    <t>Titel (if reasonable: Chapter) of the work product.</t>
  </si>
  <si>
    <t>Todo's and Remarks</t>
  </si>
  <si>
    <t xml:space="preserve">Short description to open issues and global remarks or aspects 
Intention is to comment the next column "Status".
</t>
  </si>
  <si>
    <t>Status</t>
  </si>
  <si>
    <t>Date of Status</t>
  </si>
  <si>
    <t xml:space="preserve">Date of given status
</t>
  </si>
  <si>
    <t>Responsible person:
RASIC</t>
  </si>
  <si>
    <t xml:space="preserve">Definition see RASIC table below.
</t>
  </si>
  <si>
    <t xml:space="preserve">Client/Dep.
</t>
  </si>
  <si>
    <t xml:space="preserve">This row is optional. Intention is to give a quick overview which client / department has which share on the project.
</t>
  </si>
  <si>
    <t>Milestone
(Project Plan)</t>
  </si>
  <si>
    <t>Refering milestone of the project plan
Might be a gate in the developent process</t>
  </si>
  <si>
    <t>Exchange of Data</t>
  </si>
  <si>
    <t>Document/infomation which has to be exchanged to next responsible or counterpart of management or technique</t>
  </si>
  <si>
    <t xml:space="preserve">Date sent </t>
  </si>
  <si>
    <t>Date when the exchange was done.</t>
  </si>
  <si>
    <t>2. Description of "RASIC"</t>
  </si>
  <si>
    <t>RASIC 
symbol</t>
  </si>
  <si>
    <t>Meaning</t>
  </si>
  <si>
    <t>Definition</t>
  </si>
  <si>
    <t>R</t>
  </si>
  <si>
    <t>Responsible</t>
  </si>
  <si>
    <t xml:space="preserve">Those who do the work to achieve the task.
There is typically one role with a participation type of responsible, although others can be delegated to assist in the work required </t>
  </si>
  <si>
    <t>A</t>
  </si>
  <si>
    <t>Approver</t>
  </si>
  <si>
    <t>The one ultimately answerable for the correct and thorough completion of the 
deliverable or task, and the one who delegates the work to those responsible. 
In other words, an accountable must sign off (approve) on work that
 responsible provides.</t>
  </si>
  <si>
    <t>S</t>
  </si>
  <si>
    <t>Support</t>
  </si>
  <si>
    <t>Resources allocated to responsible. Unlike consulted, who may 
provide input to the task, support will assist in completing the task.</t>
  </si>
  <si>
    <t>I</t>
  </si>
  <si>
    <t>Informed</t>
  </si>
  <si>
    <t>Those who are kept up-to-date on progress, often only on completion 
of the task or deliverable; and with whom there is just one-way communication</t>
  </si>
  <si>
    <t>Consulted</t>
  </si>
  <si>
    <t>Those whose opinions are sought, typically subject matter experts; 
and with whom there is two-way communication.</t>
  </si>
  <si>
    <t>3. Sample use status</t>
  </si>
  <si>
    <t>Sample</t>
  </si>
  <si>
    <t>A-Sample</t>
  </si>
  <si>
    <r>
      <t xml:space="preserve">The A-Sample shall be used for the presentation of
</t>
    </r>
    <r>
      <rPr>
        <sz val="10"/>
        <rFont val="Wingdings 2"/>
        <family val="1"/>
        <charset val="2"/>
      </rPr>
      <t></t>
    </r>
    <r>
      <rPr>
        <sz val="10"/>
        <rFont val="Arial"/>
        <family val="2"/>
      </rPr>
      <t xml:space="preserve"> Concepts
</t>
    </r>
    <r>
      <rPr>
        <sz val="10"/>
        <rFont val="Wingdings 2"/>
        <family val="1"/>
        <charset val="2"/>
      </rPr>
      <t></t>
    </r>
    <r>
      <rPr>
        <sz val="10"/>
        <rFont val="Arial"/>
        <family val="2"/>
      </rPr>
      <t xml:space="preserve"> Critical functions
</t>
    </r>
    <r>
      <rPr>
        <sz val="10"/>
        <rFont val="Wingdings 2"/>
        <family val="1"/>
        <charset val="2"/>
      </rPr>
      <t></t>
    </r>
    <r>
      <rPr>
        <sz val="10"/>
        <rFont val="Arial"/>
        <family val="2"/>
      </rPr>
      <t xml:space="preserve"> Technology assessments
</t>
    </r>
    <r>
      <rPr>
        <sz val="10"/>
        <rFont val="Wingdings 2"/>
        <family val="1"/>
        <charset val="2"/>
      </rPr>
      <t></t>
    </r>
    <r>
      <rPr>
        <sz val="10"/>
        <rFont val="Arial"/>
        <family val="2"/>
      </rPr>
      <t xml:space="preserve"> the sample is only for restricted use
</t>
    </r>
  </si>
  <si>
    <t>B-Sample</t>
  </si>
  <si>
    <r>
      <t xml:space="preserve">The B-Samples are
</t>
    </r>
    <r>
      <rPr>
        <sz val="10"/>
        <rFont val="Wingdings 2"/>
        <family val="1"/>
        <charset val="2"/>
      </rPr>
      <t></t>
    </r>
    <r>
      <rPr>
        <sz val="10"/>
        <rFont val="Arial"/>
        <family val="2"/>
      </rPr>
      <t xml:space="preserve"> Develop samples for technology-critical details, such as function, design, and assembly. 
</t>
    </r>
    <r>
      <rPr>
        <sz val="10"/>
        <rFont val="Wingdings 2"/>
        <family val="1"/>
        <charset val="2"/>
      </rPr>
      <t></t>
    </r>
    <r>
      <rPr>
        <sz val="10"/>
        <rFont val="Arial"/>
        <family val="2"/>
      </rPr>
      <t xml:space="preserve"> Samples used to uncover emergent product requirements 
</t>
    </r>
    <r>
      <rPr>
        <sz val="10"/>
        <rFont val="Wingdings 2"/>
        <family val="1"/>
        <charset val="2"/>
      </rPr>
      <t></t>
    </r>
    <r>
      <rPr>
        <sz val="10"/>
        <rFont val="Arial"/>
        <family val="2"/>
      </rPr>
      <t xml:space="preserve"> the samples may have use restrictions</t>
    </r>
  </si>
  <si>
    <t>C-Sample</t>
  </si>
  <si>
    <t xml:space="preserve">The C-Samples are samples provide further test, development, and validation and are near-series samples.
The C-Samples fulfill all specified safety and non-safety requirements.
The Sample have no use restrictions. </t>
  </si>
  <si>
    <t>Initial Sample</t>
  </si>
  <si>
    <t>The initial sample is the first production falling part that was manufactured ​​on the final production plant.</t>
  </si>
  <si>
    <t>open</t>
  </si>
  <si>
    <t>in progress</t>
  </si>
  <si>
    <t>in review</t>
  </si>
  <si>
    <t>reviewed</t>
  </si>
  <si>
    <t>approved</t>
  </si>
  <si>
    <t>released</t>
  </si>
  <si>
    <t>not applicable</t>
  </si>
  <si>
    <t>Implementation accomplishment</t>
    <phoneticPr fontId="28" type="noConversion"/>
  </si>
  <si>
    <t xml:space="preserve">"Actual status of the issue Description of Status, see Table
""Description of Status"""
</t>
    <phoneticPr fontId="28" type="noConversion"/>
  </si>
  <si>
    <t xml:space="preserve">As far as the implementation differes from 
the responsible organisation it has to be stated by whom the Implementation/accomplishment relies on.
There might be more than one named thus these can be named by adding rows.
Partly filled with examples.
</t>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</si>
</sst>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 _€_-;\-* #,##0.00\ _€_-;_-* &quot;-&quot;??\ _€_-;_-@_-"/>
    <numFmt numFmtId="177" formatCode="d/m/yyyy"/>
    <numFmt numFmtId="178" formatCode="mm\/yyyy"/>
    <numFmt numFmtId="179" formatCode="[$-1083C]yyyy\-mm\-dd;@"/>
    <numFmt numFmtId="180" formatCode="_-* #,##0\ _€_-;\-* #,##0\ _€_-;_-* &quot;-&quot;??\ _€_-;_-@_-"/>
  </numFmts>
  <fonts count="35" x14ac:knownFonts="1">
    <font>
      <sz val="11"/>
      <color theme="1"/>
      <name val="宋体"/>
      <family val="2"/>
      <scheme val="minor"/>
    </font>
    <font>
      <sz val="11"/>
      <color theme="1"/>
      <name val="Calibri"/>
      <family val="2"/>
    </font>
    <font>
      <b/>
      <sz val="11"/>
      <color theme="1"/>
      <name val="宋体"/>
      <family val="2"/>
      <scheme val="minor"/>
    </font>
    <font>
      <sz val="10"/>
      <name val="Arial"/>
      <family val="2"/>
    </font>
    <font>
      <b/>
      <sz val="10"/>
      <name val="Arial"/>
      <family val="2"/>
    </font>
    <font>
      <sz val="8"/>
      <name val="Arial"/>
      <family val="2"/>
    </font>
    <font>
      <sz val="10"/>
      <name val="Arial"/>
      <family val="2"/>
    </font>
    <font>
      <b/>
      <sz val="12"/>
      <name val="Arial"/>
      <family val="2"/>
    </font>
    <font>
      <b/>
      <sz val="16"/>
      <name val="Arial"/>
      <family val="2"/>
    </font>
    <font>
      <b/>
      <sz val="11"/>
      <name val="Arial"/>
      <family val="2"/>
    </font>
    <font>
      <sz val="11"/>
      <name val="Arial"/>
      <family val="2"/>
    </font>
    <font>
      <sz val="10"/>
      <color indexed="62"/>
      <name val="Arial"/>
      <family val="2"/>
    </font>
    <font>
      <sz val="9"/>
      <color rgb="FF555555"/>
      <name val="Courier New"/>
      <family val="3"/>
    </font>
    <font>
      <sz val="10"/>
      <color rgb="FF333333"/>
      <name val="Arial"/>
      <family val="2"/>
    </font>
    <font>
      <b/>
      <sz val="11"/>
      <color indexed="8"/>
      <name val="Calibri"/>
      <family val="2"/>
    </font>
    <font>
      <vertAlign val="superscript"/>
      <sz val="10"/>
      <name val="Arial"/>
      <family val="2"/>
    </font>
    <font>
      <sz val="10"/>
      <color indexed="10"/>
      <name val="Arial"/>
      <family val="2"/>
    </font>
    <font>
      <sz val="10"/>
      <color theme="1"/>
      <name val="Arial"/>
      <family val="2"/>
    </font>
    <font>
      <u/>
      <sz val="10"/>
      <name val="Arial"/>
      <family val="2"/>
    </font>
    <font>
      <b/>
      <sz val="12"/>
      <color indexed="9"/>
      <name val="Arial"/>
      <family val="2"/>
    </font>
    <font>
      <u/>
      <sz val="10"/>
      <color theme="10"/>
      <name val="Arial"/>
      <family val="2"/>
    </font>
    <font>
      <sz val="9"/>
      <color indexed="8"/>
      <name val="Arial"/>
      <family val="2"/>
    </font>
    <font>
      <sz val="10"/>
      <color indexed="8"/>
      <name val="Arial"/>
      <family val="2"/>
    </font>
    <font>
      <sz val="11"/>
      <color theme="0"/>
      <name val="Calibri"/>
      <family val="2"/>
    </font>
    <font>
      <sz val="11"/>
      <color theme="1"/>
      <name val="宋体"/>
      <family val="2"/>
      <scheme val="minor"/>
    </font>
    <font>
      <b/>
      <sz val="16"/>
      <color theme="1"/>
      <name val="宋体"/>
      <family val="2"/>
      <scheme val="minor"/>
    </font>
    <font>
      <sz val="10"/>
      <name val="Wingdings 2"/>
      <family val="1"/>
      <charset val="2"/>
    </font>
    <font>
      <b/>
      <sz val="10"/>
      <color rgb="FFFF0000"/>
      <name val="Arial"/>
      <family val="2"/>
    </font>
    <font>
      <sz val="9"/>
      <name val="宋体"/>
      <family val="3"/>
      <charset val="134"/>
      <scheme val="minor"/>
    </font>
    <font>
      <b/>
      <sz val="10"/>
      <color theme="0"/>
      <name val="Arial"/>
      <family val="2"/>
    </font>
    <font>
      <i/>
      <sz val="8"/>
      <color theme="1"/>
      <name val="Arial"/>
      <family val="2"/>
    </font>
    <font>
      <b/>
      <sz val="16"/>
      <color theme="1"/>
      <name val="Arial"/>
      <family val="2"/>
    </font>
    <font>
      <b/>
      <sz val="11"/>
      <color theme="1"/>
      <name val="Arial"/>
      <family val="2"/>
    </font>
    <font>
      <sz val="9"/>
      <color indexed="81"/>
      <name val="宋体"/>
      <family val="3"/>
      <charset val="134"/>
    </font>
    <font>
      <b/>
      <sz val="9"/>
      <color indexed="81"/>
      <name val="宋体"/>
      <family val="3"/>
      <charset val="134"/>
    </font>
  </fonts>
  <fills count="16">
    <fill>
      <patternFill patternType="none"/>
    </fill>
    <fill>
      <patternFill patternType="gray125"/>
    </fill>
    <fill>
      <patternFill patternType="solid">
        <fgColor theme="4" tint="0.59999389629810485"/>
        <bgColor indexed="64"/>
      </patternFill>
    </fill>
    <fill>
      <patternFill patternType="solid">
        <fgColor indexed="22"/>
        <bgColor indexed="64"/>
      </patternFill>
    </fill>
    <fill>
      <patternFill patternType="solid">
        <fgColor theme="0"/>
        <bgColor indexed="64"/>
      </patternFill>
    </fill>
    <fill>
      <patternFill patternType="solid">
        <fgColor theme="9" tint="0.59999389629810485"/>
        <bgColor indexed="64"/>
      </patternFill>
    </fill>
    <fill>
      <patternFill patternType="solid">
        <fgColor indexed="43"/>
        <bgColor indexed="64"/>
      </patternFill>
    </fill>
    <fill>
      <patternFill patternType="solid">
        <fgColor theme="0" tint="-0.249977111117893"/>
        <bgColor indexed="64"/>
      </patternFill>
    </fill>
    <fill>
      <patternFill patternType="solid">
        <fgColor rgb="FFFFFF99"/>
        <bgColor indexed="64"/>
      </patternFill>
    </fill>
    <fill>
      <patternFill patternType="solid">
        <fgColor rgb="FFCCFFFF"/>
        <bgColor indexed="64"/>
      </patternFill>
    </fill>
    <fill>
      <patternFill patternType="solid">
        <fgColor rgb="FFCCFFFF"/>
        <bgColor indexed="9"/>
      </patternFill>
    </fill>
    <fill>
      <patternFill patternType="solid">
        <fgColor theme="0"/>
        <bgColor indexed="9"/>
      </patternFill>
    </fill>
    <fill>
      <patternFill patternType="solid">
        <fgColor indexed="41"/>
        <bgColor indexed="64"/>
      </patternFill>
    </fill>
    <fill>
      <patternFill patternType="solid">
        <fgColor theme="0" tint="-0.499984740745262"/>
        <bgColor indexed="64"/>
      </patternFill>
    </fill>
    <fill>
      <patternFill patternType="solid">
        <fgColor theme="5"/>
      </patternFill>
    </fill>
    <fill>
      <patternFill patternType="solid">
        <fgColor theme="3"/>
        <bgColor indexed="64"/>
      </patternFill>
    </fill>
  </fills>
  <borders count="64">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right style="medium">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s>
  <cellStyleXfs count="12">
    <xf numFmtId="0" fontId="0" fillId="0" borderId="0"/>
    <xf numFmtId="0" fontId="3" fillId="0" borderId="0"/>
    <xf numFmtId="0" fontId="6" fillId="0" borderId="0"/>
    <xf numFmtId="0" fontId="3" fillId="0" borderId="0"/>
    <xf numFmtId="0" fontId="20" fillId="0" borderId="0" applyNumberFormat="0" applyFill="0" applyBorder="0" applyAlignment="0" applyProtection="0"/>
    <xf numFmtId="0" fontId="5" fillId="0" borderId="0"/>
    <xf numFmtId="0" fontId="20" fillId="0" borderId="0" applyNumberFormat="0" applyFill="0" applyBorder="0" applyAlignment="0" applyProtection="0"/>
    <xf numFmtId="0" fontId="23" fillId="14" borderId="0" applyNumberFormat="0" applyBorder="0" applyAlignment="0" applyProtection="0"/>
    <xf numFmtId="0" fontId="1" fillId="0" borderId="0"/>
    <xf numFmtId="0" fontId="24" fillId="0" borderId="0"/>
    <xf numFmtId="0" fontId="3" fillId="0" borderId="0"/>
    <xf numFmtId="176" fontId="24" fillId="0" borderId="0" applyFont="0" applyFill="0" applyBorder="0" applyAlignment="0" applyProtection="0"/>
  </cellStyleXfs>
  <cellXfs count="397">
    <xf numFmtId="0" fontId="0" fillId="0" borderId="0" xfId="0"/>
    <xf numFmtId="0" fontId="6" fillId="0" borderId="0" xfId="2"/>
    <xf numFmtId="0" fontId="9" fillId="0" borderId="0" xfId="2" applyFont="1" applyAlignment="1">
      <alignment horizontal="center"/>
    </xf>
    <xf numFmtId="0" fontId="10" fillId="0" borderId="0" xfId="2" applyFont="1"/>
    <xf numFmtId="0" fontId="9" fillId="0" borderId="0" xfId="2" applyFont="1" applyAlignment="1">
      <alignment vertical="center"/>
    </xf>
    <xf numFmtId="0" fontId="5" fillId="0" borderId="0" xfId="2" applyFont="1" applyAlignment="1">
      <alignment horizontal="right"/>
    </xf>
    <xf numFmtId="49" fontId="9" fillId="0" borderId="0" xfId="2" applyNumberFormat="1" applyFont="1" applyAlignment="1">
      <alignment horizontal="center"/>
    </xf>
    <xf numFmtId="0" fontId="5" fillId="0" borderId="0" xfId="2" applyFont="1" applyAlignment="1">
      <alignment horizontal="center"/>
    </xf>
    <xf numFmtId="0" fontId="9" fillId="0" borderId="0" xfId="2" applyFont="1"/>
    <xf numFmtId="0" fontId="9" fillId="0" borderId="0" xfId="2" applyFont="1" applyAlignment="1">
      <alignment horizontal="left"/>
    </xf>
    <xf numFmtId="0" fontId="10" fillId="6" borderId="38" xfId="2" applyFont="1" applyFill="1" applyBorder="1" applyAlignment="1">
      <alignment horizontal="center" vertical="top" wrapText="1"/>
    </xf>
    <xf numFmtId="0" fontId="3" fillId="3" borderId="5" xfId="2" applyFont="1" applyFill="1" applyBorder="1" applyAlignment="1">
      <alignment horizontal="center" vertical="center" wrapText="1"/>
    </xf>
    <xf numFmtId="0" fontId="3" fillId="3" borderId="8" xfId="2" applyFont="1" applyFill="1" applyBorder="1" applyAlignment="1">
      <alignment horizontal="center" vertical="center" wrapText="1"/>
    </xf>
    <xf numFmtId="0" fontId="3" fillId="3" borderId="13" xfId="2" applyFont="1" applyFill="1" applyBorder="1" applyAlignment="1">
      <alignment horizontal="center" vertical="center" wrapText="1"/>
    </xf>
    <xf numFmtId="0" fontId="3" fillId="3" borderId="37" xfId="2" applyFont="1" applyFill="1" applyBorder="1" applyAlignment="1">
      <alignment horizontal="center" vertical="center" wrapText="1"/>
    </xf>
    <xf numFmtId="0" fontId="10" fillId="0" borderId="0" xfId="2" applyFont="1" applyAlignment="1">
      <alignment horizontal="center"/>
    </xf>
    <xf numFmtId="0" fontId="12" fillId="0" borderId="0" xfId="2" applyFont="1"/>
    <xf numFmtId="0" fontId="9" fillId="0" borderId="0" xfId="2" applyFont="1" applyAlignment="1">
      <alignment horizontal="center" vertical="center"/>
    </xf>
    <xf numFmtId="177" fontId="3" fillId="0" borderId="0" xfId="2" applyNumberFormat="1" applyFont="1" applyAlignment="1">
      <alignment horizontal="center"/>
    </xf>
    <xf numFmtId="0" fontId="9" fillId="7" borderId="42" xfId="2" applyFont="1" applyFill="1" applyBorder="1" applyAlignment="1">
      <alignment horizontal="center" vertical="center" wrapText="1"/>
    </xf>
    <xf numFmtId="0" fontId="9" fillId="7" borderId="15" xfId="2" applyFont="1" applyFill="1" applyBorder="1" applyAlignment="1">
      <alignment horizontal="center" vertical="center" wrapText="1"/>
    </xf>
    <xf numFmtId="9" fontId="19" fillId="13" borderId="8" xfId="2" applyNumberFormat="1" applyFont="1" applyFill="1" applyBorder="1" applyAlignment="1">
      <alignment horizontal="left" vertical="top" wrapText="1"/>
    </xf>
    <xf numFmtId="0" fontId="19" fillId="13" borderId="8" xfId="2" applyFont="1" applyFill="1" applyBorder="1" applyAlignment="1">
      <alignment horizontal="left" vertical="top" wrapText="1"/>
    </xf>
    <xf numFmtId="0" fontId="19" fillId="13" borderId="9" xfId="2" applyFont="1" applyFill="1" applyBorder="1" applyAlignment="1">
      <alignment horizontal="left" vertical="top" wrapText="1"/>
    </xf>
    <xf numFmtId="0" fontId="4" fillId="7" borderId="5" xfId="2" applyFont="1" applyFill="1" applyBorder="1" applyAlignment="1">
      <alignment horizontal="center" vertical="center" wrapText="1"/>
    </xf>
    <xf numFmtId="0" fontId="4" fillId="7" borderId="27" xfId="2" applyFont="1" applyFill="1" applyBorder="1" applyAlignment="1">
      <alignment horizontal="center" vertical="center"/>
    </xf>
    <xf numFmtId="0" fontId="3" fillId="0" borderId="8" xfId="2" applyFont="1" applyBorder="1" applyAlignment="1">
      <alignment horizontal="center" vertical="center"/>
    </xf>
    <xf numFmtId="0" fontId="3" fillId="0" borderId="10" xfId="2" applyFont="1" applyBorder="1" applyAlignment="1">
      <alignment horizontal="center" vertical="center"/>
    </xf>
    <xf numFmtId="0" fontId="21" fillId="0" borderId="29" xfId="2" applyFont="1" applyBorder="1" applyAlignment="1">
      <alignment horizontal="center" vertical="center"/>
    </xf>
    <xf numFmtId="0" fontId="3" fillId="0" borderId="9" xfId="2" applyFont="1" applyBorder="1" applyAlignment="1">
      <alignment horizontal="center" vertical="center"/>
    </xf>
    <xf numFmtId="0" fontId="3" fillId="0" borderId="31" xfId="2" applyFont="1" applyBorder="1" applyAlignment="1">
      <alignment horizontal="center" vertical="center"/>
    </xf>
    <xf numFmtId="9" fontId="22" fillId="0" borderId="0" xfId="2" applyNumberFormat="1" applyFont="1" applyAlignment="1">
      <alignment horizontal="left" vertical="top" wrapText="1"/>
    </xf>
    <xf numFmtId="9" fontId="3" fillId="0" borderId="0" xfId="2" applyNumberFormat="1" applyFont="1" applyAlignment="1">
      <alignment horizontal="center" vertical="top" wrapText="1"/>
    </xf>
    <xf numFmtId="49" fontId="5" fillId="5" borderId="2" xfId="2" applyNumberFormat="1" applyFont="1" applyFill="1" applyBorder="1" applyAlignment="1">
      <alignment horizontal="center"/>
    </xf>
    <xf numFmtId="0" fontId="9" fillId="7" borderId="1" xfId="2" applyFont="1" applyFill="1" applyBorder="1" applyAlignment="1">
      <alignment horizontal="center" vertical="center" wrapText="1"/>
    </xf>
    <xf numFmtId="0" fontId="9" fillId="7" borderId="59" xfId="2" applyFont="1" applyFill="1" applyBorder="1" applyAlignment="1">
      <alignment horizontal="left" vertical="center" wrapText="1"/>
    </xf>
    <xf numFmtId="0" fontId="23" fillId="14" borderId="0" xfId="7"/>
    <xf numFmtId="0" fontId="25" fillId="0" borderId="0" xfId="0" applyFont="1"/>
    <xf numFmtId="0" fontId="3" fillId="4" borderId="42" xfId="2" applyFont="1" applyFill="1" applyBorder="1" applyAlignment="1" applyProtection="1">
      <alignment horizontal="center" vertical="top" wrapText="1"/>
      <protection locked="0"/>
    </xf>
    <xf numFmtId="0" fontId="3" fillId="4" borderId="41" xfId="2" applyFont="1" applyFill="1" applyBorder="1" applyAlignment="1" applyProtection="1">
      <alignment horizontal="center" vertical="top" wrapText="1"/>
      <protection locked="0"/>
    </xf>
    <xf numFmtId="0" fontId="3" fillId="0" borderId="6" xfId="2" applyFont="1" applyBorder="1" applyAlignment="1" applyProtection="1">
      <alignment horizontal="left" vertical="center" wrapText="1"/>
      <protection locked="0"/>
    </xf>
    <xf numFmtId="0" fontId="3" fillId="0" borderId="2" xfId="2" applyFont="1" applyBorder="1" applyAlignment="1" applyProtection="1">
      <alignment horizontal="left" vertical="center" wrapText="1"/>
      <protection locked="0"/>
    </xf>
    <xf numFmtId="0" fontId="11" fillId="0" borderId="28" xfId="2" applyFont="1" applyBorder="1" applyAlignment="1" applyProtection="1">
      <alignment horizontal="left" vertical="center" wrapText="1"/>
      <protection locked="0"/>
    </xf>
    <xf numFmtId="0" fontId="11" fillId="0" borderId="56" xfId="2" applyFont="1" applyBorder="1" applyAlignment="1" applyProtection="1">
      <alignment horizontal="left" vertical="center" wrapText="1"/>
      <protection locked="0"/>
    </xf>
    <xf numFmtId="0" fontId="11" fillId="0" borderId="2" xfId="2" applyFont="1" applyBorder="1" applyAlignment="1" applyProtection="1">
      <alignment horizontal="left" vertical="center" wrapText="1"/>
      <protection locked="0"/>
    </xf>
    <xf numFmtId="0" fontId="10" fillId="6" borderId="38" xfId="2" applyFont="1" applyFill="1" applyBorder="1" applyAlignment="1">
      <alignment horizontal="center" vertical="center" wrapText="1"/>
    </xf>
    <xf numFmtId="0" fontId="10" fillId="0" borderId="0" xfId="2" applyFont="1" applyAlignment="1">
      <alignment vertical="center"/>
    </xf>
    <xf numFmtId="0" fontId="5" fillId="5" borderId="10" xfId="2" applyFont="1" applyFill="1" applyBorder="1" applyAlignment="1">
      <alignment horizontal="center"/>
    </xf>
    <xf numFmtId="0" fontId="5" fillId="5" borderId="43" xfId="2" applyFont="1" applyFill="1" applyBorder="1" applyAlignment="1">
      <alignment horizontal="center"/>
    </xf>
    <xf numFmtId="0" fontId="5" fillId="5" borderId="2" xfId="2" applyFont="1" applyFill="1" applyBorder="1" applyAlignment="1">
      <alignment horizontal="center"/>
    </xf>
    <xf numFmtId="178" fontId="3" fillId="0" borderId="6" xfId="2" applyNumberFormat="1" applyFont="1" applyBorder="1" applyAlignment="1" applyProtection="1">
      <alignment horizontal="left" vertical="top" wrapText="1"/>
      <protection locked="0"/>
    </xf>
    <xf numFmtId="178" fontId="3" fillId="0" borderId="2" xfId="2" applyNumberFormat="1" applyFont="1" applyBorder="1" applyAlignment="1" applyProtection="1">
      <alignment horizontal="left" vertical="top" wrapText="1"/>
      <protection locked="0"/>
    </xf>
    <xf numFmtId="178" fontId="3" fillId="0" borderId="3" xfId="2" applyNumberFormat="1" applyFont="1" applyBorder="1" applyAlignment="1" applyProtection="1">
      <alignment horizontal="left" vertical="top" wrapText="1"/>
      <protection locked="0"/>
    </xf>
    <xf numFmtId="0" fontId="4" fillId="12" borderId="34" xfId="2" applyFont="1" applyFill="1" applyBorder="1" applyAlignment="1">
      <alignment horizontal="left" vertical="top" wrapText="1"/>
    </xf>
    <xf numFmtId="0" fontId="4" fillId="9" borderId="34" xfId="2" applyFont="1" applyFill="1" applyBorder="1" applyAlignment="1">
      <alignment horizontal="left" vertical="top" wrapText="1"/>
    </xf>
    <xf numFmtId="178" fontId="3" fillId="0" borderId="50" xfId="2" applyNumberFormat="1" applyFont="1" applyBorder="1" applyAlignment="1" applyProtection="1">
      <alignment horizontal="center" vertical="top" wrapText="1"/>
      <protection locked="0"/>
    </xf>
    <xf numFmtId="0" fontId="3" fillId="4" borderId="50" xfId="2" applyFont="1" applyFill="1" applyBorder="1" applyAlignment="1" applyProtection="1">
      <alignment horizontal="center" vertical="top" wrapText="1"/>
      <protection locked="0"/>
    </xf>
    <xf numFmtId="0" fontId="8" fillId="0" borderId="0" xfId="2" applyFont="1" applyAlignment="1">
      <alignment horizontal="center" vertical="center"/>
    </xf>
    <xf numFmtId="0" fontId="3" fillId="3" borderId="1" xfId="2" applyFont="1" applyFill="1" applyBorder="1" applyAlignment="1">
      <alignment horizontal="left" vertical="top" wrapText="1"/>
    </xf>
    <xf numFmtId="0" fontId="3" fillId="3" borderId="0" xfId="1" applyFill="1" applyAlignment="1">
      <alignment horizontal="left" vertical="top" wrapText="1"/>
    </xf>
    <xf numFmtId="178" fontId="3" fillId="0" borderId="41" xfId="2" applyNumberFormat="1" applyFont="1" applyBorder="1" applyAlignment="1" applyProtection="1">
      <alignment horizontal="center" vertical="top" wrapText="1"/>
      <protection locked="0"/>
    </xf>
    <xf numFmtId="178" fontId="3" fillId="0" borderId="42" xfId="2" applyNumberFormat="1" applyFont="1" applyBorder="1" applyAlignment="1" applyProtection="1">
      <alignment horizontal="center" vertical="top" wrapText="1"/>
      <protection locked="0"/>
    </xf>
    <xf numFmtId="0" fontId="4" fillId="12" borderId="54" xfId="2" applyFont="1" applyFill="1" applyBorder="1" applyAlignment="1">
      <alignment vertical="top" wrapText="1"/>
    </xf>
    <xf numFmtId="0" fontId="4" fillId="12" borderId="34" xfId="2" applyFont="1" applyFill="1" applyBorder="1" applyAlignment="1">
      <alignment vertical="top" wrapText="1"/>
    </xf>
    <xf numFmtId="180" fontId="8" fillId="0" borderId="0" xfId="11" applyNumberFormat="1" applyFont="1" applyFill="1" applyBorder="1" applyAlignment="1">
      <alignment horizontal="center" vertical="center" wrapText="1"/>
    </xf>
    <xf numFmtId="180" fontId="9" fillId="0" borderId="0" xfId="11" applyNumberFormat="1" applyFont="1" applyFill="1" applyBorder="1" applyAlignment="1">
      <alignment horizontal="center" vertical="center" wrapText="1"/>
    </xf>
    <xf numFmtId="180" fontId="9" fillId="7" borderId="42" xfId="11" applyNumberFormat="1" applyFont="1" applyFill="1" applyBorder="1" applyAlignment="1">
      <alignment horizontal="center" vertical="center" wrapText="1"/>
    </xf>
    <xf numFmtId="180" fontId="9" fillId="7" borderId="1" xfId="11" applyNumberFormat="1" applyFont="1" applyFill="1" applyBorder="1" applyAlignment="1">
      <alignment horizontal="center" vertical="center" wrapText="1"/>
    </xf>
    <xf numFmtId="180" fontId="3" fillId="0" borderId="50" xfId="11" applyNumberFormat="1" applyFont="1" applyFill="1" applyBorder="1" applyAlignment="1" applyProtection="1">
      <alignment horizontal="center" vertical="top" wrapText="1"/>
      <protection locked="0"/>
    </xf>
    <xf numFmtId="180" fontId="3" fillId="0" borderId="41" xfId="11" applyNumberFormat="1" applyFont="1" applyFill="1" applyBorder="1" applyAlignment="1" applyProtection="1">
      <alignment horizontal="center" vertical="top" wrapText="1"/>
      <protection locked="0"/>
    </xf>
    <xf numFmtId="180" fontId="3" fillId="0" borderId="42" xfId="11" applyNumberFormat="1" applyFont="1" applyFill="1" applyBorder="1" applyAlignment="1" applyProtection="1">
      <alignment horizontal="center" vertical="top" wrapText="1"/>
      <protection locked="0"/>
    </xf>
    <xf numFmtId="180" fontId="4" fillId="9" borderId="54" xfId="11" applyNumberFormat="1" applyFont="1" applyFill="1" applyBorder="1" applyAlignment="1">
      <alignment horizontal="center" vertical="top" wrapText="1"/>
    </xf>
    <xf numFmtId="180" fontId="5" fillId="0" borderId="0" xfId="11" applyNumberFormat="1" applyFont="1" applyFill="1" applyBorder="1" applyAlignment="1">
      <alignment horizontal="center" wrapText="1"/>
    </xf>
    <xf numFmtId="180" fontId="4" fillId="12" borderId="54" xfId="11" applyNumberFormat="1" applyFont="1" applyFill="1" applyBorder="1" applyAlignment="1">
      <alignment horizontal="center" vertical="top" wrapText="1"/>
    </xf>
    <xf numFmtId="180" fontId="3" fillId="3" borderId="1" xfId="11" applyNumberFormat="1" applyFont="1" applyFill="1" applyBorder="1" applyAlignment="1">
      <alignment horizontal="center" vertical="top" wrapText="1"/>
    </xf>
    <xf numFmtId="180" fontId="3" fillId="3" borderId="0" xfId="11" applyNumberFormat="1" applyFont="1" applyFill="1" applyBorder="1" applyAlignment="1">
      <alignment horizontal="center" vertical="top" wrapText="1"/>
    </xf>
    <xf numFmtId="180" fontId="23" fillId="14" borderId="0" xfId="11" applyNumberFormat="1" applyFont="1" applyFill="1" applyAlignment="1">
      <alignment horizontal="center" wrapText="1"/>
    </xf>
    <xf numFmtId="180" fontId="6" fillId="0" borderId="0" xfId="11" applyNumberFormat="1" applyFont="1" applyAlignment="1">
      <alignment horizontal="center" wrapText="1"/>
    </xf>
    <xf numFmtId="0" fontId="8" fillId="0" borderId="0" xfId="11" applyNumberFormat="1" applyFont="1" applyFill="1" applyBorder="1" applyAlignment="1">
      <alignment horizontal="center" vertical="center" wrapText="1"/>
    </xf>
    <xf numFmtId="0" fontId="9" fillId="0" borderId="0" xfId="11" applyNumberFormat="1" applyFont="1" applyFill="1" applyBorder="1" applyAlignment="1">
      <alignment horizontal="center" vertical="center" wrapText="1"/>
    </xf>
    <xf numFmtId="0" fontId="5" fillId="0" borderId="0" xfId="11" applyNumberFormat="1" applyFont="1" applyFill="1" applyBorder="1" applyAlignment="1">
      <alignment horizontal="center" wrapText="1"/>
    </xf>
    <xf numFmtId="0" fontId="9" fillId="7" borderId="42" xfId="11" applyNumberFormat="1" applyFont="1" applyFill="1" applyBorder="1" applyAlignment="1">
      <alignment horizontal="center" vertical="center" wrapText="1"/>
    </xf>
    <xf numFmtId="0" fontId="9" fillId="7" borderId="1" xfId="11" applyNumberFormat="1" applyFont="1" applyFill="1" applyBorder="1" applyAlignment="1">
      <alignment horizontal="center" vertical="center" wrapText="1"/>
    </xf>
    <xf numFmtId="0" fontId="4" fillId="12" borderId="54" xfId="11" applyNumberFormat="1" applyFont="1" applyFill="1" applyBorder="1" applyAlignment="1">
      <alignment horizontal="center" vertical="top" wrapText="1"/>
    </xf>
    <xf numFmtId="0" fontId="3" fillId="3" borderId="1" xfId="11" applyNumberFormat="1" applyFont="1" applyFill="1" applyBorder="1" applyAlignment="1">
      <alignment horizontal="center" vertical="top" wrapText="1"/>
    </xf>
    <xf numFmtId="0" fontId="3" fillId="3" borderId="0" xfId="11" applyNumberFormat="1" applyFont="1" applyFill="1" applyBorder="1" applyAlignment="1">
      <alignment horizontal="center" vertical="top" wrapText="1"/>
    </xf>
    <xf numFmtId="0" fontId="4" fillId="9" borderId="54" xfId="11" applyNumberFormat="1" applyFont="1" applyFill="1" applyBorder="1" applyAlignment="1">
      <alignment horizontal="center" vertical="top" wrapText="1"/>
    </xf>
    <xf numFmtId="0" fontId="3" fillId="0" borderId="50" xfId="11" applyNumberFormat="1" applyFont="1" applyFill="1" applyBorder="1" applyAlignment="1" applyProtection="1">
      <alignment horizontal="center" vertical="top" wrapText="1"/>
      <protection locked="0"/>
    </xf>
    <xf numFmtId="0" fontId="3" fillId="0" borderId="41" xfId="11" applyNumberFormat="1" applyFont="1" applyFill="1" applyBorder="1" applyAlignment="1" applyProtection="1">
      <alignment horizontal="center" vertical="top" wrapText="1"/>
      <protection locked="0"/>
    </xf>
    <xf numFmtId="0" fontId="3" fillId="0" borderId="42" xfId="11" applyNumberFormat="1" applyFont="1" applyFill="1" applyBorder="1" applyAlignment="1" applyProtection="1">
      <alignment horizontal="center" vertical="top" wrapText="1"/>
      <protection locked="0"/>
    </xf>
    <xf numFmtId="0" fontId="23" fillId="14" borderId="0" xfId="11" applyNumberFormat="1" applyFont="1" applyFill="1" applyAlignment="1">
      <alignment horizontal="center" wrapText="1"/>
    </xf>
    <xf numFmtId="0" fontId="6" fillId="0" borderId="0" xfId="11" applyNumberFormat="1" applyFont="1" applyAlignment="1">
      <alignment horizontal="center" wrapText="1"/>
    </xf>
    <xf numFmtId="178" fontId="3" fillId="0" borderId="7" xfId="2" applyNumberFormat="1" applyFont="1" applyBorder="1" applyAlignment="1" applyProtection="1">
      <alignment horizontal="left" vertical="top" wrapText="1"/>
      <protection locked="0"/>
    </xf>
    <xf numFmtId="178" fontId="3" fillId="0" borderId="58" xfId="2" applyNumberFormat="1" applyFont="1" applyBorder="1" applyAlignment="1" applyProtection="1">
      <alignment horizontal="left" vertical="top" wrapText="1"/>
      <protection locked="0"/>
    </xf>
    <xf numFmtId="178" fontId="3" fillId="0" borderId="4" xfId="2" applyNumberFormat="1" applyFont="1" applyBorder="1" applyAlignment="1" applyProtection="1">
      <alignment horizontal="left" vertical="top" wrapText="1"/>
      <protection locked="0"/>
    </xf>
    <xf numFmtId="0" fontId="9" fillId="0" borderId="0" xfId="2" applyFont="1" applyAlignment="1">
      <alignment horizontal="center" vertical="top"/>
    </xf>
    <xf numFmtId="0" fontId="3" fillId="0" borderId="13" xfId="2" applyFont="1" applyBorder="1" applyAlignment="1">
      <alignment horizontal="center" vertical="center"/>
    </xf>
    <xf numFmtId="0" fontId="9" fillId="7" borderId="50" xfId="2" applyFont="1" applyFill="1" applyBorder="1" applyAlignment="1">
      <alignment horizontal="center" vertical="center" wrapText="1"/>
    </xf>
    <xf numFmtId="0" fontId="9" fillId="7" borderId="42" xfId="2" applyFont="1" applyFill="1" applyBorder="1" applyAlignment="1">
      <alignment vertical="center" wrapText="1"/>
    </xf>
    <xf numFmtId="0" fontId="8" fillId="0" borderId="0" xfId="10" applyFont="1" applyAlignment="1">
      <alignment horizontal="center" vertical="center"/>
    </xf>
    <xf numFmtId="0" fontId="9" fillId="0" borderId="0" xfId="10" applyFont="1" applyAlignment="1">
      <alignment horizontal="center" vertical="center"/>
    </xf>
    <xf numFmtId="49" fontId="7" fillId="5" borderId="0" xfId="10" applyNumberFormat="1" applyFont="1" applyFill="1" applyAlignment="1">
      <alignment horizontal="center" vertical="center"/>
    </xf>
    <xf numFmtId="0" fontId="7" fillId="5" borderId="0" xfId="10" applyFont="1" applyFill="1" applyAlignment="1">
      <alignment horizontal="center" vertical="center"/>
    </xf>
    <xf numFmtId="0" fontId="10" fillId="0" borderId="0" xfId="10" applyFont="1"/>
    <xf numFmtId="49" fontId="9" fillId="0" borderId="0" xfId="10" applyNumberFormat="1" applyFont="1" applyAlignment="1">
      <alignment horizontal="center"/>
    </xf>
    <xf numFmtId="0" fontId="3" fillId="0" borderId="0" xfId="10" applyAlignment="1">
      <alignment horizontal="right"/>
    </xf>
    <xf numFmtId="0" fontId="3" fillId="0" borderId="0" xfId="10" applyAlignment="1">
      <alignment horizontal="center"/>
    </xf>
    <xf numFmtId="0" fontId="5" fillId="0" borderId="0" xfId="10" applyFont="1" applyAlignment="1">
      <alignment horizontal="right"/>
    </xf>
    <xf numFmtId="0" fontId="9" fillId="0" borderId="0" xfId="10" applyFont="1" applyAlignment="1">
      <alignment horizontal="center"/>
    </xf>
    <xf numFmtId="0" fontId="9" fillId="7" borderId="38" xfId="10" applyFont="1" applyFill="1" applyBorder="1" applyAlignment="1">
      <alignment horizontal="center" vertical="center" wrapText="1"/>
    </xf>
    <xf numFmtId="0" fontId="9" fillId="7" borderId="57" xfId="10" applyFont="1" applyFill="1" applyBorder="1" applyAlignment="1">
      <alignment horizontal="center" vertical="center" wrapText="1"/>
    </xf>
    <xf numFmtId="0" fontId="9" fillId="7" borderId="42" xfId="10" applyFont="1" applyFill="1" applyBorder="1" applyAlignment="1">
      <alignment horizontal="left" vertical="center" wrapText="1"/>
    </xf>
    <xf numFmtId="0" fontId="9" fillId="7" borderId="42" xfId="10" applyFont="1" applyFill="1" applyBorder="1" applyAlignment="1">
      <alignment horizontal="center" vertical="center" wrapText="1"/>
    </xf>
    <xf numFmtId="0" fontId="9" fillId="7" borderId="37" xfId="10" applyFont="1" applyFill="1" applyBorder="1" applyAlignment="1">
      <alignment horizontal="center" vertical="center" wrapText="1"/>
    </xf>
    <xf numFmtId="0" fontId="9" fillId="7" borderId="11" xfId="10" applyFont="1" applyFill="1" applyBorder="1" applyAlignment="1">
      <alignment horizontal="center" vertical="center" wrapText="1"/>
    </xf>
    <xf numFmtId="0" fontId="9" fillId="7" borderId="1" xfId="10" applyFont="1" applyFill="1" applyBorder="1" applyAlignment="1">
      <alignment horizontal="left" vertical="center" wrapText="1"/>
    </xf>
    <xf numFmtId="0" fontId="9" fillId="7" borderId="1" xfId="10" applyFont="1" applyFill="1" applyBorder="1" applyAlignment="1">
      <alignment horizontal="center" vertical="center" wrapText="1"/>
    </xf>
    <xf numFmtId="0" fontId="4" fillId="12" borderId="37" xfId="10" applyFont="1" applyFill="1" applyBorder="1" applyAlignment="1">
      <alignment horizontal="left" vertical="top" wrapText="1"/>
    </xf>
    <xf numFmtId="0" fontId="4" fillId="12" borderId="11" xfId="10" applyFont="1" applyFill="1" applyBorder="1" applyAlignment="1">
      <alignment horizontal="left" vertical="top" wrapText="1"/>
    </xf>
    <xf numFmtId="49" fontId="4" fillId="3" borderId="35" xfId="10" applyNumberFormat="1" applyFont="1" applyFill="1" applyBorder="1" applyAlignment="1">
      <alignment horizontal="left" vertical="top" wrapText="1"/>
    </xf>
    <xf numFmtId="49" fontId="4" fillId="3" borderId="42" xfId="10" applyNumberFormat="1" applyFont="1" applyFill="1" applyBorder="1" applyAlignment="1">
      <alignment horizontal="center" vertical="top" wrapText="1"/>
    </xf>
    <xf numFmtId="0" fontId="4" fillId="3" borderId="42" xfId="10" applyFont="1" applyFill="1" applyBorder="1" applyAlignment="1">
      <alignment horizontal="left" vertical="top" wrapText="1"/>
    </xf>
    <xf numFmtId="0" fontId="3" fillId="3" borderId="1" xfId="10" applyFill="1" applyBorder="1" applyAlignment="1">
      <alignment horizontal="left" vertical="top" wrapText="1"/>
    </xf>
    <xf numFmtId="49" fontId="4" fillId="3" borderId="13" xfId="10" applyNumberFormat="1" applyFont="1" applyFill="1" applyBorder="1" applyAlignment="1">
      <alignment horizontal="left" vertical="top" wrapText="1"/>
    </xf>
    <xf numFmtId="49" fontId="4" fillId="3" borderId="50" xfId="10" applyNumberFormat="1" applyFont="1" applyFill="1" applyBorder="1" applyAlignment="1">
      <alignment horizontal="center" vertical="top" wrapText="1"/>
    </xf>
    <xf numFmtId="0" fontId="4" fillId="12" borderId="38" xfId="10" applyFont="1" applyFill="1" applyBorder="1" applyAlignment="1">
      <alignment horizontal="left" vertical="top" wrapText="1"/>
    </xf>
    <xf numFmtId="0" fontId="4" fillId="12" borderId="57" xfId="10" applyFont="1" applyFill="1" applyBorder="1" applyAlignment="1">
      <alignment horizontal="left" vertical="top" wrapText="1"/>
    </xf>
    <xf numFmtId="0" fontId="4" fillId="9" borderId="38" xfId="10" applyFont="1" applyFill="1" applyBorder="1" applyAlignment="1">
      <alignment horizontal="left" vertical="top" wrapText="1"/>
    </xf>
    <xf numFmtId="49" fontId="4" fillId="3" borderId="42" xfId="10" applyNumberFormat="1" applyFont="1" applyFill="1" applyBorder="1" applyAlignment="1">
      <alignment horizontal="left" vertical="top" wrapText="1"/>
    </xf>
    <xf numFmtId="0" fontId="3" fillId="3" borderId="36" xfId="10" applyFill="1" applyBorder="1" applyAlignment="1">
      <alignment horizontal="left" vertical="top" wrapText="1"/>
    </xf>
    <xf numFmtId="49" fontId="4" fillId="3" borderId="50" xfId="10" applyNumberFormat="1" applyFont="1" applyFill="1" applyBorder="1" applyAlignment="1">
      <alignment horizontal="left" vertical="top" wrapText="1"/>
    </xf>
    <xf numFmtId="0" fontId="3" fillId="3" borderId="37" xfId="10" applyFill="1" applyBorder="1" applyAlignment="1">
      <alignment horizontal="left" vertical="top" wrapText="1"/>
    </xf>
    <xf numFmtId="49" fontId="4" fillId="3" borderId="41" xfId="10" applyNumberFormat="1" applyFont="1" applyFill="1" applyBorder="1" applyAlignment="1">
      <alignment horizontal="left" vertical="top" wrapText="1"/>
    </xf>
    <xf numFmtId="0" fontId="4" fillId="9" borderId="57" xfId="10" applyFont="1" applyFill="1" applyBorder="1" applyAlignment="1">
      <alignment horizontal="left" vertical="top" wrapText="1"/>
    </xf>
    <xf numFmtId="0" fontId="3" fillId="0" borderId="0" xfId="10"/>
    <xf numFmtId="0" fontId="4" fillId="9" borderId="54" xfId="2" applyFont="1" applyFill="1" applyBorder="1" applyAlignment="1">
      <alignment horizontal="left" vertical="top" wrapText="1"/>
    </xf>
    <xf numFmtId="0" fontId="4" fillId="9" borderId="53" xfId="10" applyFont="1" applyFill="1" applyBorder="1" applyAlignment="1">
      <alignment vertical="top" wrapText="1"/>
    </xf>
    <xf numFmtId="0" fontId="4" fillId="9" borderId="54" xfId="10" applyFont="1" applyFill="1" applyBorder="1" applyAlignment="1">
      <alignment vertical="top" wrapText="1"/>
    </xf>
    <xf numFmtId="0" fontId="4" fillId="9" borderId="54" xfId="10" applyFont="1" applyFill="1" applyBorder="1" applyAlignment="1">
      <alignment horizontal="left" vertical="top" wrapText="1"/>
    </xf>
    <xf numFmtId="0" fontId="4" fillId="12" borderId="47" xfId="2" applyFont="1" applyFill="1" applyBorder="1" applyAlignment="1">
      <alignment vertical="top" wrapText="1"/>
    </xf>
    <xf numFmtId="0" fontId="4" fillId="12" borderId="54" xfId="2" applyFont="1" applyFill="1" applyBorder="1" applyAlignment="1">
      <alignment horizontal="left" vertical="top" wrapText="1"/>
    </xf>
    <xf numFmtId="0" fontId="4" fillId="9" borderId="54" xfId="11" applyNumberFormat="1" applyFont="1" applyFill="1" applyBorder="1" applyAlignment="1" applyProtection="1">
      <alignment horizontal="center" vertical="top" wrapText="1"/>
    </xf>
    <xf numFmtId="180" fontId="4" fillId="9" borderId="54" xfId="11" applyNumberFormat="1" applyFont="1" applyFill="1" applyBorder="1" applyAlignment="1" applyProtection="1">
      <alignment horizontal="center" vertical="top" wrapText="1"/>
    </xf>
    <xf numFmtId="0" fontId="4" fillId="12" borderId="54" xfId="10" applyFont="1" applyFill="1" applyBorder="1" applyAlignment="1">
      <alignment horizontal="left" vertical="top" wrapText="1"/>
    </xf>
    <xf numFmtId="0" fontId="4" fillId="12" borderId="54" xfId="11" applyNumberFormat="1" applyFont="1" applyFill="1" applyBorder="1" applyAlignment="1" applyProtection="1">
      <alignment horizontal="center" vertical="top" wrapText="1"/>
    </xf>
    <xf numFmtId="180" fontId="4" fillId="12" borderId="54" xfId="11" applyNumberFormat="1" applyFont="1" applyFill="1" applyBorder="1" applyAlignment="1" applyProtection="1">
      <alignment horizontal="center" vertical="top" wrapText="1"/>
    </xf>
    <xf numFmtId="0" fontId="4" fillId="9" borderId="11" xfId="10" applyFont="1" applyFill="1" applyBorder="1" applyAlignment="1">
      <alignment horizontal="left" vertical="top" wrapText="1"/>
    </xf>
    <xf numFmtId="0" fontId="4" fillId="9" borderId="53" xfId="10" applyFont="1" applyFill="1" applyBorder="1" applyAlignment="1">
      <alignment horizontal="left" vertical="top" wrapText="1"/>
    </xf>
    <xf numFmtId="0" fontId="4" fillId="12" borderId="54" xfId="10" applyFont="1" applyFill="1" applyBorder="1" applyAlignment="1">
      <alignment vertical="top" wrapText="1"/>
    </xf>
    <xf numFmtId="0" fontId="4" fillId="9" borderId="37" xfId="10" applyFont="1" applyFill="1" applyBorder="1" applyAlignment="1">
      <alignment horizontal="left" vertical="top" wrapText="1"/>
    </xf>
    <xf numFmtId="0" fontId="4" fillId="9" borderId="53" xfId="2" applyFont="1" applyFill="1" applyBorder="1" applyAlignment="1">
      <alignment vertical="top" wrapText="1"/>
    </xf>
    <xf numFmtId="0" fontId="4" fillId="9" borderId="54" xfId="2" applyFont="1" applyFill="1" applyBorder="1" applyAlignment="1">
      <alignment vertical="top" wrapText="1"/>
    </xf>
    <xf numFmtId="0" fontId="4" fillId="12" borderId="38" xfId="3" applyFont="1" applyFill="1" applyBorder="1" applyAlignment="1">
      <alignment horizontal="left" vertical="top" wrapText="1"/>
    </xf>
    <xf numFmtId="0" fontId="4" fillId="12" borderId="54" xfId="3" applyFont="1" applyFill="1" applyBorder="1" applyAlignment="1">
      <alignment horizontal="left" vertical="top" wrapText="1"/>
    </xf>
    <xf numFmtId="0" fontId="4" fillId="9" borderId="54" xfId="3" applyFont="1" applyFill="1" applyBorder="1" applyAlignment="1">
      <alignment horizontal="left" vertical="top" wrapText="1"/>
    </xf>
    <xf numFmtId="0" fontId="4" fillId="9" borderId="34" xfId="3" applyFont="1" applyFill="1" applyBorder="1" applyAlignment="1">
      <alignment horizontal="left" vertical="top" wrapText="1"/>
    </xf>
    <xf numFmtId="0" fontId="4" fillId="12" borderId="57" xfId="3" applyFont="1" applyFill="1" applyBorder="1" applyAlignment="1">
      <alignment horizontal="left" vertical="top" wrapText="1"/>
    </xf>
    <xf numFmtId="0" fontId="4" fillId="9" borderId="16" xfId="2" applyFont="1" applyFill="1" applyBorder="1" applyAlignment="1">
      <alignment horizontal="left" vertical="top" wrapText="1"/>
    </xf>
    <xf numFmtId="0" fontId="4" fillId="9" borderId="12" xfId="2" applyFont="1" applyFill="1" applyBorder="1" applyAlignment="1">
      <alignment horizontal="left" vertical="top" wrapText="1"/>
    </xf>
    <xf numFmtId="0" fontId="4" fillId="9" borderId="54" xfId="10" applyFont="1" applyFill="1" applyBorder="1" applyAlignment="1">
      <alignment horizontal="center" vertical="top" wrapText="1"/>
    </xf>
    <xf numFmtId="0" fontId="4" fillId="9" borderId="54" xfId="2" applyFont="1" applyFill="1" applyBorder="1" applyAlignment="1">
      <alignment horizontal="center" vertical="top" wrapText="1"/>
    </xf>
    <xf numFmtId="0" fontId="4" fillId="9" borderId="34" xfId="2" applyFont="1" applyFill="1" applyBorder="1" applyAlignment="1">
      <alignment horizontal="center" vertical="top" wrapText="1"/>
    </xf>
    <xf numFmtId="0" fontId="10" fillId="6" borderId="47" xfId="2" applyFont="1" applyFill="1" applyBorder="1" applyAlignment="1">
      <alignment horizontal="center" vertical="top" wrapText="1"/>
    </xf>
    <xf numFmtId="0" fontId="3" fillId="0" borderId="6" xfId="2" applyFont="1" applyBorder="1" applyAlignment="1" applyProtection="1">
      <alignment horizontal="center" vertical="center" wrapText="1"/>
      <protection locked="0"/>
    </xf>
    <xf numFmtId="0" fontId="3" fillId="0" borderId="6" xfId="2" applyFont="1" applyBorder="1" applyAlignment="1" applyProtection="1">
      <alignment vertical="center"/>
      <protection locked="0"/>
    </xf>
    <xf numFmtId="0" fontId="8" fillId="0" borderId="0" xfId="2" applyFont="1" applyAlignment="1">
      <alignment horizontal="center" vertical="center" wrapText="1"/>
    </xf>
    <xf numFmtId="0" fontId="3" fillId="0" borderId="2" xfId="2" applyFont="1" applyBorder="1" applyAlignment="1" applyProtection="1">
      <alignment horizontal="center" vertical="center" wrapText="1"/>
      <protection locked="0"/>
    </xf>
    <xf numFmtId="0" fontId="3" fillId="0" borderId="2" xfId="2" applyFont="1" applyBorder="1" applyAlignment="1" applyProtection="1">
      <alignment vertical="center"/>
      <protection locked="0"/>
    </xf>
    <xf numFmtId="0" fontId="3" fillId="0" borderId="2" xfId="2" applyFont="1" applyBorder="1" applyAlignment="1" applyProtection="1">
      <alignment horizontal="center" vertical="center"/>
      <protection locked="0"/>
    </xf>
    <xf numFmtId="0" fontId="11" fillId="0" borderId="10" xfId="2" applyFont="1" applyBorder="1" applyAlignment="1" applyProtection="1">
      <alignment horizontal="center" vertical="center"/>
      <protection locked="0"/>
    </xf>
    <xf numFmtId="0" fontId="11" fillId="0" borderId="27" xfId="2" applyFont="1" applyBorder="1" applyAlignment="1" applyProtection="1">
      <alignment horizontal="center" vertical="center" wrapText="1"/>
      <protection locked="0"/>
    </xf>
    <xf numFmtId="0" fontId="11" fillId="0" borderId="30" xfId="2" applyFont="1" applyBorder="1" applyAlignment="1" applyProtection="1">
      <alignment horizontal="center" vertical="center"/>
      <protection locked="0"/>
    </xf>
    <xf numFmtId="0" fontId="10" fillId="6" borderId="47" xfId="2" applyFont="1" applyFill="1" applyBorder="1" applyAlignment="1">
      <alignment horizontal="center" vertical="center" wrapText="1"/>
    </xf>
    <xf numFmtId="0" fontId="9" fillId="4" borderId="0" xfId="2" applyFont="1" applyFill="1" applyAlignment="1">
      <alignment vertical="center" wrapText="1"/>
    </xf>
    <xf numFmtId="0" fontId="11" fillId="0" borderId="24" xfId="2" applyFont="1" applyBorder="1" applyAlignment="1" applyProtection="1">
      <alignment horizontal="center" vertical="center" wrapText="1"/>
      <protection locked="0"/>
    </xf>
    <xf numFmtId="0" fontId="11" fillId="0" borderId="61" xfId="2" applyFont="1" applyBorder="1" applyAlignment="1" applyProtection="1">
      <alignment horizontal="left" vertical="center" wrapText="1"/>
      <protection locked="0"/>
    </xf>
    <xf numFmtId="0" fontId="11" fillId="0" borderId="31" xfId="2" applyFont="1" applyBorder="1" applyAlignment="1" applyProtection="1">
      <alignment horizontal="center" vertical="center" wrapText="1"/>
      <protection locked="0"/>
    </xf>
    <xf numFmtId="0" fontId="11" fillId="0" borderId="33" xfId="2" applyFont="1" applyBorder="1" applyAlignment="1" applyProtection="1">
      <alignment horizontal="center" vertical="center" wrapText="1"/>
      <protection locked="0"/>
    </xf>
    <xf numFmtId="0" fontId="10" fillId="0" borderId="0" xfId="2" applyFont="1" applyAlignment="1">
      <alignment horizontal="center" vertical="top"/>
    </xf>
    <xf numFmtId="0" fontId="6" fillId="4" borderId="0" xfId="2" applyFill="1" applyAlignment="1">
      <alignment vertical="center" wrapText="1"/>
    </xf>
    <xf numFmtId="0" fontId="6" fillId="4" borderId="22" xfId="2" applyFill="1" applyBorder="1" applyAlignment="1">
      <alignment vertical="center" wrapText="1"/>
    </xf>
    <xf numFmtId="0" fontId="8" fillId="0" borderId="0" xfId="2" applyFont="1" applyAlignment="1">
      <alignment vertical="center" wrapText="1"/>
    </xf>
    <xf numFmtId="0" fontId="9" fillId="7" borderId="63" xfId="2" applyFont="1" applyFill="1" applyBorder="1" applyAlignment="1">
      <alignment horizontal="left" vertical="center" wrapText="1"/>
    </xf>
    <xf numFmtId="0" fontId="9" fillId="4" borderId="0" xfId="2" applyFont="1" applyFill="1" applyAlignment="1">
      <alignment horizontal="center" vertical="center" wrapText="1"/>
    </xf>
    <xf numFmtId="0" fontId="6" fillId="4" borderId="0" xfId="2" applyFill="1" applyAlignment="1">
      <alignment horizontal="center" vertical="center" wrapText="1"/>
    </xf>
    <xf numFmtId="0" fontId="0" fillId="0" borderId="2" xfId="0" applyBorder="1"/>
    <xf numFmtId="0" fontId="29" fillId="15" borderId="14" xfId="0" applyFont="1" applyFill="1" applyBorder="1" applyAlignment="1">
      <alignment horizontal="center" vertical="center"/>
    </xf>
    <xf numFmtId="0" fontId="0" fillId="0" borderId="8" xfId="0" applyBorder="1"/>
    <xf numFmtId="0" fontId="0" fillId="0" borderId="9" xfId="0" applyBorder="1"/>
    <xf numFmtId="0" fontId="0" fillId="0" borderId="3" xfId="0" applyBorder="1"/>
    <xf numFmtId="0" fontId="17" fillId="0" borderId="8" xfId="0" applyFont="1" applyBorder="1" applyAlignment="1">
      <alignment horizontal="center" vertical="center"/>
    </xf>
    <xf numFmtId="0" fontId="17" fillId="0" borderId="9" xfId="0" applyFont="1" applyBorder="1" applyAlignment="1">
      <alignment horizontal="center" vertical="center"/>
    </xf>
    <xf numFmtId="0" fontId="29" fillId="15" borderId="43" xfId="0" applyFont="1" applyFill="1" applyBorder="1" applyAlignment="1">
      <alignment horizontal="center" vertical="center"/>
    </xf>
    <xf numFmtId="0" fontId="29" fillId="15" borderId="2" xfId="0" applyFont="1" applyFill="1" applyBorder="1" applyAlignment="1">
      <alignment horizontal="center" vertical="center"/>
    </xf>
    <xf numFmtId="0" fontId="0" fillId="0" borderId="30" xfId="0" applyBorder="1"/>
    <xf numFmtId="0" fontId="0" fillId="0" borderId="33" xfId="0" applyBorder="1"/>
    <xf numFmtId="0" fontId="17" fillId="0" borderId="18" xfId="0" applyFont="1" applyBorder="1" applyAlignment="1">
      <alignment horizontal="center" vertical="center"/>
    </xf>
    <xf numFmtId="0" fontId="0" fillId="0" borderId="17" xfId="0" applyBorder="1"/>
    <xf numFmtId="0" fontId="0" fillId="0" borderId="49" xfId="0" applyBorder="1"/>
    <xf numFmtId="0" fontId="32" fillId="0" borderId="25" xfId="0" applyFont="1" applyBorder="1" applyAlignment="1">
      <alignment horizontal="left"/>
    </xf>
    <xf numFmtId="0" fontId="32" fillId="0" borderId="23" xfId="0" applyFont="1" applyBorder="1" applyAlignment="1">
      <alignment horizontal="left"/>
    </xf>
    <xf numFmtId="0" fontId="32" fillId="0" borderId="24" xfId="0" applyFont="1" applyBorder="1" applyAlignment="1">
      <alignment horizontal="left"/>
    </xf>
    <xf numFmtId="0" fontId="29" fillId="15" borderId="10" xfId="0" applyFont="1" applyFill="1" applyBorder="1" applyAlignment="1">
      <alignment horizontal="center" vertical="center"/>
    </xf>
    <xf numFmtId="0" fontId="29" fillId="15" borderId="39" xfId="0" applyFont="1" applyFill="1" applyBorder="1" applyAlignment="1">
      <alignment horizontal="center" vertical="center"/>
    </xf>
    <xf numFmtId="0" fontId="0" fillId="0" borderId="10" xfId="0" applyBorder="1" applyAlignment="1">
      <alignment horizontal="center"/>
    </xf>
    <xf numFmtId="0" fontId="0" fillId="0" borderId="3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10" xfId="0" applyBorder="1" applyAlignment="1">
      <alignment horizontal="left"/>
    </xf>
    <xf numFmtId="0" fontId="0" fillId="0" borderId="43" xfId="0" applyBorder="1" applyAlignment="1">
      <alignment horizontal="left"/>
    </xf>
    <xf numFmtId="0" fontId="0" fillId="0" borderId="62" xfId="0" applyBorder="1" applyAlignment="1">
      <alignment horizontal="center"/>
    </xf>
    <xf numFmtId="0" fontId="0" fillId="0" borderId="33" xfId="0" applyBorder="1" applyAlignment="1">
      <alignment horizontal="center"/>
    </xf>
    <xf numFmtId="0" fontId="29" fillId="15" borderId="43" xfId="0" applyFont="1" applyFill="1" applyBorder="1" applyAlignment="1">
      <alignment horizontal="center" vertical="center"/>
    </xf>
    <xf numFmtId="0" fontId="0" fillId="0" borderId="43" xfId="0" applyBorder="1" applyAlignment="1">
      <alignment horizontal="center"/>
    </xf>
    <xf numFmtId="0" fontId="0" fillId="0" borderId="30" xfId="0" applyBorder="1" applyAlignment="1">
      <alignment horizontal="center"/>
    </xf>
    <xf numFmtId="0" fontId="0" fillId="0" borderId="17" xfId="0" applyBorder="1" applyAlignment="1">
      <alignment horizontal="center" vertical="center"/>
    </xf>
    <xf numFmtId="0" fontId="0" fillId="0" borderId="50" xfId="0" applyBorder="1" applyAlignment="1">
      <alignment horizontal="center" vertical="center"/>
    </xf>
    <xf numFmtId="0" fontId="0" fillId="0" borderId="41" xfId="0" applyBorder="1" applyAlignment="1">
      <alignment horizontal="center" vertical="center"/>
    </xf>
    <xf numFmtId="0" fontId="31" fillId="0" borderId="29" xfId="0" applyFont="1" applyBorder="1" applyAlignment="1">
      <alignment horizontal="center" vertical="center"/>
    </xf>
    <xf numFmtId="0" fontId="31" fillId="0" borderId="55" xfId="0" applyFont="1" applyBorder="1" applyAlignment="1">
      <alignment horizontal="center" vertical="center"/>
    </xf>
    <xf numFmtId="0" fontId="31" fillId="0" borderId="52" xfId="0" applyFont="1" applyBorder="1" applyAlignment="1">
      <alignment horizontal="center" vertical="center"/>
    </xf>
    <xf numFmtId="0" fontId="31" fillId="0" borderId="51" xfId="0" applyFont="1" applyBorder="1" applyAlignment="1">
      <alignment horizontal="center" vertical="center"/>
    </xf>
    <xf numFmtId="0" fontId="31" fillId="0" borderId="60" xfId="0" applyFont="1" applyBorder="1" applyAlignment="1">
      <alignment horizontal="center" vertical="center"/>
    </xf>
    <xf numFmtId="0" fontId="31" fillId="0" borderId="61" xfId="0" applyFont="1" applyBorder="1" applyAlignment="1">
      <alignment horizontal="center" vertical="center"/>
    </xf>
    <xf numFmtId="0" fontId="0" fillId="0" borderId="10" xfId="0" applyBorder="1" applyAlignment="1">
      <alignment horizontal="center" vertical="center"/>
    </xf>
    <xf numFmtId="0" fontId="0" fillId="0" borderId="39" xfId="0" applyBorder="1" applyAlignment="1">
      <alignment horizontal="center" vertical="center"/>
    </xf>
    <xf numFmtId="0" fontId="0" fillId="0" borderId="30" xfId="0" applyBorder="1" applyAlignment="1">
      <alignment horizontal="center" vertical="center"/>
    </xf>
    <xf numFmtId="0" fontId="30" fillId="0" borderId="10" xfId="0" applyFont="1" applyBorder="1" applyAlignment="1">
      <alignment horizontal="center" vertical="center"/>
    </xf>
    <xf numFmtId="0" fontId="30" fillId="0" borderId="39" xfId="0" applyFont="1" applyBorder="1" applyAlignment="1">
      <alignment horizontal="center" vertical="center"/>
    </xf>
    <xf numFmtId="0" fontId="30" fillId="0" borderId="30" xfId="0" applyFont="1" applyBorder="1" applyAlignment="1">
      <alignment horizontal="center" vertical="center"/>
    </xf>
    <xf numFmtId="0" fontId="0" fillId="0" borderId="45" xfId="0" applyBorder="1" applyAlignment="1">
      <alignment horizontal="center" vertical="center"/>
    </xf>
    <xf numFmtId="0" fontId="0" fillId="0" borderId="20" xfId="0" applyBorder="1" applyAlignment="1">
      <alignment horizontal="center" vertical="center"/>
    </xf>
    <xf numFmtId="0" fontId="0" fillId="0" borderId="56" xfId="0" applyBorder="1" applyAlignment="1">
      <alignment horizontal="center" vertical="center"/>
    </xf>
    <xf numFmtId="0" fontId="3" fillId="0" borderId="26" xfId="2" applyFont="1" applyBorder="1" applyAlignment="1">
      <alignment horizontal="left" vertical="top" wrapText="1"/>
    </xf>
    <xf numFmtId="0" fontId="6" fillId="0" borderId="11" xfId="2" applyBorder="1" applyAlignment="1">
      <alignment horizontal="left" vertical="top" wrapText="1"/>
    </xf>
    <xf numFmtId="0" fontId="6" fillId="0" borderId="12" xfId="2" applyBorder="1" applyAlignment="1">
      <alignment horizontal="left" vertical="top" wrapText="1"/>
    </xf>
    <xf numFmtId="0" fontId="3" fillId="7" borderId="40" xfId="2" applyFont="1" applyFill="1" applyBorder="1" applyAlignment="1">
      <alignment horizontal="left" vertical="center" wrapText="1"/>
    </xf>
    <xf numFmtId="0" fontId="3" fillId="7" borderId="39" xfId="2" applyFont="1" applyFill="1" applyBorder="1" applyAlignment="1">
      <alignment horizontal="left" vertical="center" wrapText="1"/>
    </xf>
    <xf numFmtId="0" fontId="3" fillId="7" borderId="30" xfId="2" applyFont="1" applyFill="1" applyBorder="1" applyAlignment="1">
      <alignment horizontal="left" vertical="center" wrapText="1"/>
    </xf>
    <xf numFmtId="0" fontId="3" fillId="8" borderId="19" xfId="2" applyFont="1" applyFill="1" applyBorder="1" applyAlignment="1">
      <alignment vertical="center" wrapText="1"/>
    </xf>
    <xf numFmtId="0" fontId="3" fillId="8" borderId="20" xfId="2" applyFont="1" applyFill="1" applyBorder="1" applyAlignment="1">
      <alignment vertical="center" wrapText="1"/>
    </xf>
    <xf numFmtId="0" fontId="3" fillId="8" borderId="21" xfId="2" applyFont="1" applyFill="1" applyBorder="1" applyAlignment="1">
      <alignment vertical="center" wrapText="1"/>
    </xf>
    <xf numFmtId="0" fontId="3" fillId="5" borderId="40" xfId="2" applyFont="1" applyFill="1" applyBorder="1" applyAlignment="1">
      <alignment vertical="center" wrapText="1"/>
    </xf>
    <xf numFmtId="0" fontId="3" fillId="5" borderId="39" xfId="2" applyFont="1" applyFill="1" applyBorder="1" applyAlignment="1">
      <alignment vertical="center" wrapText="1"/>
    </xf>
    <xf numFmtId="0" fontId="3" fillId="5" borderId="30" xfId="2" applyFont="1" applyFill="1" applyBorder="1" applyAlignment="1">
      <alignment vertical="center" wrapText="1"/>
    </xf>
    <xf numFmtId="0" fontId="3" fillId="9" borderId="40" xfId="2" applyFont="1" applyFill="1" applyBorder="1"/>
    <xf numFmtId="0" fontId="3" fillId="9" borderId="39" xfId="2" applyFont="1" applyFill="1" applyBorder="1"/>
    <xf numFmtId="0" fontId="3" fillId="9" borderId="30" xfId="2" applyFont="1" applyFill="1" applyBorder="1"/>
    <xf numFmtId="0" fontId="13" fillId="0" borderId="10" xfId="2" applyFont="1" applyBorder="1" applyAlignment="1">
      <alignment vertical="center"/>
    </xf>
    <xf numFmtId="0" fontId="13" fillId="0" borderId="39" xfId="2" applyFont="1" applyBorder="1" applyAlignment="1">
      <alignment vertical="center"/>
    </xf>
    <xf numFmtId="0" fontId="13" fillId="0" borderId="43" xfId="2" applyFont="1" applyBorder="1" applyAlignment="1">
      <alignment vertical="center"/>
    </xf>
    <xf numFmtId="0" fontId="2" fillId="2" borderId="25" xfId="2" applyFont="1" applyFill="1" applyBorder="1" applyAlignment="1">
      <alignment horizontal="left" vertical="top" wrapText="1"/>
    </xf>
    <xf numFmtId="0" fontId="2" fillId="2" borderId="23" xfId="2" applyFont="1" applyFill="1" applyBorder="1" applyAlignment="1">
      <alignment horizontal="left" vertical="top" wrapText="1"/>
    </xf>
    <xf numFmtId="0" fontId="2" fillId="2" borderId="24" xfId="2" applyFont="1" applyFill="1" applyBorder="1" applyAlignment="1">
      <alignment horizontal="left" vertical="top" wrapText="1"/>
    </xf>
    <xf numFmtId="0" fontId="8" fillId="0" borderId="11" xfId="2" applyFont="1" applyBorder="1" applyAlignment="1">
      <alignment horizontal="center" vertical="center" wrapText="1"/>
    </xf>
    <xf numFmtId="0" fontId="3" fillId="0" borderId="44" xfId="2" applyFont="1" applyBorder="1" applyAlignment="1">
      <alignment horizontal="left" vertical="top" wrapText="1"/>
    </xf>
    <xf numFmtId="0" fontId="6" fillId="0" borderId="32" xfId="2" applyBorder="1" applyAlignment="1">
      <alignment horizontal="left" vertical="top" wrapText="1"/>
    </xf>
    <xf numFmtId="0" fontId="6" fillId="0" borderId="33" xfId="2" applyBorder="1" applyAlignment="1">
      <alignment horizontal="left" vertical="top" wrapText="1"/>
    </xf>
    <xf numFmtId="0" fontId="3" fillId="4" borderId="44" xfId="2" applyFont="1" applyFill="1" applyBorder="1" applyAlignment="1">
      <alignment horizontal="left" vertical="top" wrapText="1"/>
    </xf>
    <xf numFmtId="0" fontId="6" fillId="4" borderId="32" xfId="2" applyFill="1" applyBorder="1" applyAlignment="1">
      <alignment horizontal="left" vertical="top" wrapText="1"/>
    </xf>
    <xf numFmtId="0" fontId="6" fillId="4" borderId="33" xfId="2" applyFill="1" applyBorder="1" applyAlignment="1">
      <alignment horizontal="left" vertical="top" wrapText="1"/>
    </xf>
    <xf numFmtId="0" fontId="3" fillId="0" borderId="32" xfId="2" applyFont="1" applyBorder="1" applyAlignment="1">
      <alignment horizontal="left" vertical="top" wrapText="1"/>
    </xf>
    <xf numFmtId="0" fontId="3" fillId="0" borderId="33" xfId="2" applyFont="1" applyBorder="1" applyAlignment="1">
      <alignment horizontal="left" vertical="top" wrapText="1"/>
    </xf>
    <xf numFmtId="0" fontId="11" fillId="0" borderId="10" xfId="2" applyFont="1" applyBorder="1" applyAlignment="1" applyProtection="1">
      <alignment horizontal="center" vertical="center" wrapText="1"/>
      <protection locked="0"/>
    </xf>
    <xf numFmtId="0" fontId="11" fillId="0" borderId="39" xfId="2" applyFont="1" applyBorder="1" applyAlignment="1" applyProtection="1">
      <alignment horizontal="center" vertical="center" wrapText="1"/>
      <protection locked="0"/>
    </xf>
    <xf numFmtId="0" fontId="11" fillId="0" borderId="43" xfId="2" applyFont="1" applyBorder="1" applyAlignment="1" applyProtection="1">
      <alignment horizontal="center" vertical="center" wrapText="1"/>
      <protection locked="0"/>
    </xf>
    <xf numFmtId="0" fontId="11" fillId="0" borderId="22" xfId="2" applyFont="1" applyBorder="1" applyAlignment="1" applyProtection="1">
      <alignment vertical="center"/>
      <protection locked="0"/>
    </xf>
    <xf numFmtId="0" fontId="11" fillId="0" borderId="0" xfId="2" applyFont="1" applyAlignment="1" applyProtection="1">
      <alignment vertical="center"/>
      <protection locked="0"/>
    </xf>
    <xf numFmtId="0" fontId="10" fillId="0" borderId="11" xfId="2" applyFont="1" applyBorder="1"/>
    <xf numFmtId="0" fontId="10" fillId="0" borderId="0" xfId="2" applyFont="1"/>
    <xf numFmtId="0" fontId="10" fillId="4" borderId="22" xfId="2" applyFont="1" applyFill="1" applyBorder="1" applyAlignment="1">
      <alignment horizontal="center" vertical="center" wrapText="1"/>
    </xf>
    <xf numFmtId="0" fontId="6" fillId="4" borderId="0" xfId="2" applyFill="1" applyAlignment="1">
      <alignment vertical="center"/>
    </xf>
    <xf numFmtId="0" fontId="11" fillId="0" borderId="22" xfId="2" applyFont="1" applyBorder="1" applyAlignment="1" applyProtection="1">
      <alignment horizontal="center" vertical="center" wrapText="1"/>
      <protection locked="0"/>
    </xf>
    <xf numFmtId="0" fontId="11" fillId="0" borderId="10" xfId="2" applyFont="1" applyBorder="1" applyAlignment="1" applyProtection="1">
      <alignment horizontal="left" vertical="center" wrapText="1"/>
      <protection locked="0"/>
    </xf>
    <xf numFmtId="0" fontId="11" fillId="0" borderId="39" xfId="2" applyFont="1" applyBorder="1" applyAlignment="1" applyProtection="1">
      <alignment horizontal="left" vertical="center" wrapText="1"/>
      <protection locked="0"/>
    </xf>
    <xf numFmtId="0" fontId="11" fillId="0" borderId="43" xfId="2" applyFont="1" applyBorder="1" applyAlignment="1" applyProtection="1">
      <alignment horizontal="left" vertical="center" wrapText="1"/>
      <protection locked="0"/>
    </xf>
    <xf numFmtId="179" fontId="11" fillId="0" borderId="10" xfId="2" applyNumberFormat="1" applyFont="1" applyBorder="1" applyAlignment="1" applyProtection="1">
      <alignment horizontal="center" vertical="center" wrapText="1"/>
      <protection locked="0"/>
    </xf>
    <xf numFmtId="179" fontId="6" fillId="0" borderId="43" xfId="2" applyNumberFormat="1" applyBorder="1" applyAlignment="1" applyProtection="1">
      <alignment horizontal="center" vertical="center" wrapText="1"/>
      <protection locked="0"/>
    </xf>
    <xf numFmtId="0" fontId="11" fillId="4" borderId="0" xfId="2" applyFont="1" applyFill="1" applyAlignment="1" applyProtection="1">
      <alignment horizontal="center" vertical="center" wrapText="1"/>
      <protection locked="0"/>
    </xf>
    <xf numFmtId="0" fontId="11" fillId="4" borderId="0" xfId="2" applyFont="1" applyFill="1" applyAlignment="1" applyProtection="1">
      <alignment horizontal="center" vertical="center"/>
      <protection locked="0"/>
    </xf>
    <xf numFmtId="0" fontId="11" fillId="0" borderId="31" xfId="2" applyFont="1" applyBorder="1" applyAlignment="1" applyProtection="1">
      <alignment horizontal="left" vertical="center" wrapText="1"/>
      <protection locked="0"/>
    </xf>
    <xf numFmtId="0" fontId="11" fillId="0" borderId="32" xfId="2" applyFont="1" applyBorder="1" applyAlignment="1" applyProtection="1">
      <alignment horizontal="left" vertical="center" wrapText="1"/>
      <protection locked="0"/>
    </xf>
    <xf numFmtId="0" fontId="11" fillId="0" borderId="62" xfId="2" applyFont="1" applyBorder="1" applyAlignment="1" applyProtection="1">
      <alignment horizontal="left" vertical="center" wrapText="1"/>
      <protection locked="0"/>
    </xf>
    <xf numFmtId="179" fontId="11" fillId="0" borderId="31" xfId="2" applyNumberFormat="1" applyFont="1" applyBorder="1" applyAlignment="1" applyProtection="1">
      <alignment horizontal="center" vertical="center" wrapText="1"/>
      <protection locked="0"/>
    </xf>
    <xf numFmtId="179" fontId="6" fillId="0" borderId="62" xfId="2" applyNumberFormat="1" applyBorder="1" applyAlignment="1" applyProtection="1">
      <alignment horizontal="center" vertical="center" wrapText="1"/>
      <protection locked="0"/>
    </xf>
    <xf numFmtId="0" fontId="10" fillId="6" borderId="47" xfId="2" applyFont="1" applyFill="1" applyBorder="1" applyAlignment="1">
      <alignment horizontal="center" vertical="center" wrapText="1"/>
    </xf>
    <xf numFmtId="0" fontId="10" fillId="6" borderId="54" xfId="2" applyFont="1" applyFill="1" applyBorder="1" applyAlignment="1">
      <alignment horizontal="center" vertical="center" wrapText="1"/>
    </xf>
    <xf numFmtId="0" fontId="11" fillId="0" borderId="27" xfId="2" applyFont="1" applyBorder="1" applyAlignment="1" applyProtection="1">
      <alignment horizontal="center" vertical="center" wrapText="1"/>
      <protection locked="0"/>
    </xf>
    <xf numFmtId="0" fontId="11" fillId="0" borderId="23" xfId="2" applyFont="1" applyBorder="1" applyAlignment="1" applyProtection="1">
      <alignment horizontal="center" vertical="center" wrapText="1"/>
      <protection locked="0"/>
    </xf>
    <xf numFmtId="0" fontId="10" fillId="6" borderId="57" xfId="2" applyFont="1" applyFill="1" applyBorder="1" applyAlignment="1">
      <alignment horizontal="center" vertical="center" wrapText="1"/>
    </xf>
    <xf numFmtId="0" fontId="9" fillId="6" borderId="53" xfId="2" applyFont="1" applyFill="1" applyBorder="1" applyAlignment="1">
      <alignment horizontal="center" vertical="center" wrapText="1"/>
    </xf>
    <xf numFmtId="0" fontId="9" fillId="6" borderId="54" xfId="2" applyFont="1" applyFill="1" applyBorder="1" applyAlignment="1">
      <alignment horizontal="center" vertical="center" wrapText="1"/>
    </xf>
    <xf numFmtId="0" fontId="11" fillId="0" borderId="28" xfId="2" applyFont="1" applyBorder="1" applyAlignment="1" applyProtection="1">
      <alignment horizontal="center" vertical="center" wrapText="1"/>
      <protection locked="0"/>
    </xf>
    <xf numFmtId="0" fontId="6" fillId="0" borderId="57" xfId="2" applyBorder="1" applyAlignment="1">
      <alignment horizontal="center" vertical="center" wrapText="1"/>
    </xf>
    <xf numFmtId="0" fontId="10" fillId="4" borderId="0" xfId="2" applyFont="1" applyFill="1" applyAlignment="1">
      <alignment horizontal="center" vertical="center" wrapText="1"/>
    </xf>
    <xf numFmtId="0" fontId="10" fillId="6" borderId="34" xfId="2" applyFont="1" applyFill="1" applyBorder="1" applyAlignment="1">
      <alignment horizontal="center" vertical="center" wrapText="1"/>
    </xf>
    <xf numFmtId="0" fontId="9" fillId="6" borderId="34" xfId="2" applyFont="1" applyFill="1" applyBorder="1" applyAlignment="1">
      <alignment horizontal="center" vertical="center" wrapText="1"/>
    </xf>
    <xf numFmtId="0" fontId="11" fillId="0" borderId="27" xfId="2" applyFont="1" applyBorder="1" applyAlignment="1" applyProtection="1">
      <alignment horizontal="left" vertical="center" wrapText="1"/>
      <protection locked="0"/>
    </xf>
    <xf numFmtId="0" fontId="11" fillId="0" borderId="23" xfId="2" applyFont="1" applyBorder="1" applyAlignment="1" applyProtection="1">
      <alignment horizontal="left" vertical="center" wrapText="1"/>
      <protection locked="0"/>
    </xf>
    <xf numFmtId="0" fontId="11" fillId="0" borderId="28" xfId="2" applyFont="1" applyBorder="1" applyAlignment="1" applyProtection="1">
      <alignment horizontal="left" vertical="center" wrapText="1"/>
      <protection locked="0"/>
    </xf>
    <xf numFmtId="179" fontId="11" fillId="0" borderId="27" xfId="2" applyNumberFormat="1" applyFont="1" applyBorder="1" applyAlignment="1" applyProtection="1">
      <alignment horizontal="center" vertical="center" wrapText="1"/>
      <protection locked="0"/>
    </xf>
    <xf numFmtId="179" fontId="6" fillId="0" borderId="28" xfId="2" applyNumberFormat="1" applyBorder="1" applyAlignment="1" applyProtection="1">
      <alignment horizontal="center" vertical="center" wrapText="1"/>
      <protection locked="0"/>
    </xf>
    <xf numFmtId="0" fontId="3" fillId="0" borderId="10" xfId="2" applyFont="1" applyBorder="1" applyAlignment="1" applyProtection="1">
      <alignment horizontal="center" vertical="center" wrapText="1"/>
      <protection locked="0"/>
    </xf>
    <xf numFmtId="0" fontId="3" fillId="0" borderId="39" xfId="2" applyFont="1" applyBorder="1" applyAlignment="1" applyProtection="1">
      <alignment horizontal="center" vertical="center" wrapText="1"/>
      <protection locked="0"/>
    </xf>
    <xf numFmtId="0" fontId="3" fillId="0" borderId="43" xfId="2" applyFont="1" applyBorder="1" applyAlignment="1" applyProtection="1">
      <alignment horizontal="center" vertical="center" wrapText="1"/>
      <protection locked="0"/>
    </xf>
    <xf numFmtId="0" fontId="3" fillId="0" borderId="2" xfId="2" applyFont="1" applyBorder="1" applyAlignment="1" applyProtection="1">
      <alignment horizontal="left" vertical="center" wrapText="1"/>
      <protection locked="0"/>
    </xf>
    <xf numFmtId="0" fontId="3" fillId="0" borderId="58" xfId="2" applyFont="1" applyBorder="1" applyAlignment="1" applyProtection="1">
      <alignment horizontal="left" vertical="center"/>
      <protection locked="0"/>
    </xf>
    <xf numFmtId="0" fontId="10" fillId="0" borderId="2" xfId="2" applyFont="1" applyBorder="1" applyAlignment="1" applyProtection="1">
      <alignment horizontal="left" vertical="center" wrapText="1"/>
      <protection locked="0"/>
    </xf>
    <xf numFmtId="0" fontId="8" fillId="0" borderId="0" xfId="2" applyFont="1" applyAlignment="1">
      <alignment horizontal="center" vertical="center" wrapText="1"/>
    </xf>
    <xf numFmtId="0" fontId="3" fillId="0" borderId="10" xfId="2" applyFont="1" applyBorder="1" applyAlignment="1" applyProtection="1">
      <alignment horizontal="left" vertical="center" wrapText="1"/>
      <protection locked="0"/>
    </xf>
    <xf numFmtId="0" fontId="3" fillId="0" borderId="30" xfId="2" applyFont="1" applyBorder="1" applyAlignment="1" applyProtection="1">
      <alignment horizontal="left" vertical="center" wrapText="1"/>
      <protection locked="0"/>
    </xf>
    <xf numFmtId="0" fontId="10" fillId="6" borderId="47" xfId="2" applyFont="1" applyFill="1" applyBorder="1" applyAlignment="1">
      <alignment horizontal="center" vertical="top" wrapText="1"/>
    </xf>
    <xf numFmtId="0" fontId="10" fillId="6" borderId="54" xfId="2" applyFont="1" applyFill="1" applyBorder="1" applyAlignment="1">
      <alignment horizontal="center" vertical="top" wrapText="1"/>
    </xf>
    <xf numFmtId="0" fontId="6" fillId="6" borderId="57" xfId="2" applyFill="1" applyBorder="1" applyAlignment="1">
      <alignment horizontal="center" vertical="top" wrapText="1"/>
    </xf>
    <xf numFmtId="0" fontId="6" fillId="0" borderId="34" xfId="2" applyBorder="1" applyAlignment="1">
      <alignment horizontal="center" vertical="top"/>
    </xf>
    <xf numFmtId="0" fontId="3" fillId="0" borderId="6" xfId="2" applyFont="1" applyBorder="1" applyAlignment="1" applyProtection="1">
      <alignment horizontal="left" vertical="center" wrapText="1"/>
      <protection locked="0"/>
    </xf>
    <xf numFmtId="0" fontId="10" fillId="0" borderId="6" xfId="2" applyFont="1" applyBorder="1" applyAlignment="1" applyProtection="1">
      <alignment horizontal="left" vertical="center" wrapText="1"/>
      <protection locked="0"/>
    </xf>
    <xf numFmtId="0" fontId="3" fillId="0" borderId="7" xfId="2" applyFont="1" applyBorder="1" applyAlignment="1" applyProtection="1">
      <alignment horizontal="left" vertical="center"/>
      <protection locked="0"/>
    </xf>
    <xf numFmtId="0" fontId="6" fillId="6" borderId="54" xfId="2" applyFill="1" applyBorder="1" applyAlignment="1">
      <alignment horizontal="center" vertical="center" wrapText="1"/>
    </xf>
    <xf numFmtId="0" fontId="6" fillId="6" borderId="34" xfId="2" applyFill="1" applyBorder="1" applyAlignment="1">
      <alignment horizontal="center" vertical="center" wrapText="1"/>
    </xf>
    <xf numFmtId="0" fontId="9" fillId="4" borderId="1" xfId="2" applyFont="1" applyFill="1" applyBorder="1" applyAlignment="1">
      <alignment horizontal="left" vertical="center" wrapText="1"/>
    </xf>
    <xf numFmtId="0" fontId="3" fillId="9" borderId="59" xfId="2" applyFont="1" applyFill="1" applyBorder="1" applyAlignment="1">
      <alignment horizontal="left" vertical="center"/>
    </xf>
    <xf numFmtId="0" fontId="3" fillId="10" borderId="59" xfId="2" applyFont="1" applyFill="1" applyBorder="1" applyAlignment="1">
      <alignment horizontal="left" vertical="center" wrapText="1"/>
    </xf>
    <xf numFmtId="0" fontId="3" fillId="4" borderId="59" xfId="2" applyFont="1" applyFill="1" applyBorder="1" applyAlignment="1">
      <alignment horizontal="left" vertical="center" wrapText="1"/>
    </xf>
    <xf numFmtId="0" fontId="17" fillId="4" borderId="59" xfId="2" applyFont="1" applyFill="1" applyBorder="1" applyAlignment="1">
      <alignment horizontal="left" vertical="center" wrapText="1"/>
    </xf>
    <xf numFmtId="0" fontId="3" fillId="11" borderId="59" xfId="2" applyFont="1" applyFill="1" applyBorder="1" applyAlignment="1">
      <alignment horizontal="left" vertical="center" wrapText="1"/>
    </xf>
    <xf numFmtId="0" fontId="2" fillId="2" borderId="59" xfId="2" applyFont="1" applyFill="1" applyBorder="1" applyAlignment="1">
      <alignment horizontal="left" vertical="top" wrapText="1"/>
    </xf>
    <xf numFmtId="0" fontId="9" fillId="7" borderId="59" xfId="2" applyFont="1" applyFill="1" applyBorder="1" applyAlignment="1">
      <alignment horizontal="left" vertical="center" wrapText="1"/>
    </xf>
    <xf numFmtId="0" fontId="4" fillId="3" borderId="42" xfId="10" applyFont="1" applyFill="1" applyBorder="1" applyAlignment="1">
      <alignment vertical="top" wrapText="1"/>
    </xf>
    <xf numFmtId="0" fontId="4" fillId="3" borderId="50" xfId="10" applyFont="1" applyFill="1" applyBorder="1" applyAlignment="1">
      <alignment vertical="top" wrapText="1"/>
    </xf>
    <xf numFmtId="0" fontId="4" fillId="3" borderId="41" xfId="10" applyFont="1" applyFill="1" applyBorder="1" applyAlignment="1">
      <alignment vertical="top" wrapText="1"/>
    </xf>
    <xf numFmtId="0" fontId="3" fillId="9" borderId="42" xfId="10" applyFill="1" applyBorder="1" applyAlignment="1">
      <alignment vertical="top" wrapText="1"/>
    </xf>
    <xf numFmtId="0" fontId="3" fillId="9" borderId="50" xfId="10" applyFill="1" applyBorder="1" applyAlignment="1">
      <alignment vertical="top" wrapText="1"/>
    </xf>
    <xf numFmtId="0" fontId="3" fillId="9" borderId="41" xfId="10" applyFill="1" applyBorder="1" applyAlignment="1">
      <alignment vertical="top" wrapText="1"/>
    </xf>
    <xf numFmtId="0" fontId="3" fillId="0" borderId="42" xfId="10" applyBorder="1" applyAlignment="1">
      <alignment vertical="top" wrapText="1"/>
    </xf>
    <xf numFmtId="0" fontId="3" fillId="0" borderId="50" xfId="10" applyBorder="1" applyAlignment="1">
      <alignment vertical="top" wrapText="1"/>
    </xf>
    <xf numFmtId="0" fontId="3" fillId="0" borderId="41" xfId="10" applyBorder="1" applyAlignment="1">
      <alignment vertical="top" wrapText="1"/>
    </xf>
    <xf numFmtId="9" fontId="3" fillId="9" borderId="42" xfId="4" applyNumberFormat="1" applyFont="1" applyFill="1" applyBorder="1" applyAlignment="1" applyProtection="1">
      <alignment horizontal="center" vertical="center"/>
      <protection locked="0"/>
    </xf>
    <xf numFmtId="9" fontId="3" fillId="9" borderId="50" xfId="4" applyNumberFormat="1" applyFont="1" applyFill="1" applyBorder="1" applyAlignment="1" applyProtection="1">
      <alignment horizontal="center" vertical="center"/>
      <protection locked="0"/>
    </xf>
    <xf numFmtId="9" fontId="3" fillId="9" borderId="41" xfId="4" applyNumberFormat="1" applyFont="1" applyFill="1" applyBorder="1" applyAlignment="1" applyProtection="1">
      <alignment horizontal="center" vertical="center"/>
      <protection locked="0"/>
    </xf>
    <xf numFmtId="9" fontId="3" fillId="4" borderId="42" xfId="4" applyNumberFormat="1" applyFont="1" applyFill="1" applyBorder="1" applyAlignment="1" applyProtection="1">
      <alignment horizontal="center" vertical="center"/>
      <protection locked="0"/>
    </xf>
    <xf numFmtId="9" fontId="3" fillId="4" borderId="50" xfId="4" applyNumberFormat="1" applyFont="1" applyFill="1" applyBorder="1" applyAlignment="1" applyProtection="1">
      <alignment horizontal="center" vertical="center"/>
      <protection locked="0"/>
    </xf>
    <xf numFmtId="9" fontId="3" fillId="4" borderId="41" xfId="4" applyNumberFormat="1" applyFont="1" applyFill="1" applyBorder="1" applyAlignment="1" applyProtection="1">
      <alignment horizontal="center" vertical="center"/>
      <protection locked="0"/>
    </xf>
    <xf numFmtId="0" fontId="4" fillId="9" borderId="53" xfId="10" applyFont="1" applyFill="1" applyBorder="1" applyAlignment="1">
      <alignment horizontal="left" vertical="top" wrapText="1"/>
    </xf>
    <xf numFmtId="0" fontId="4" fillId="9" borderId="54" xfId="10" applyFont="1" applyFill="1" applyBorder="1" applyAlignment="1">
      <alignment horizontal="left" vertical="top" wrapText="1"/>
    </xf>
    <xf numFmtId="0" fontId="4" fillId="12" borderId="47" xfId="10" applyFont="1" applyFill="1" applyBorder="1" applyAlignment="1">
      <alignment vertical="top" wrapText="1"/>
    </xf>
    <xf numFmtId="0" fontId="4" fillId="12" borderId="54" xfId="10" applyFont="1" applyFill="1" applyBorder="1" applyAlignment="1">
      <alignment vertical="top" wrapText="1"/>
    </xf>
    <xf numFmtId="0" fontId="4" fillId="9" borderId="53" xfId="10" applyFont="1" applyFill="1" applyBorder="1" applyAlignment="1">
      <alignment vertical="top" wrapText="1"/>
    </xf>
    <xf numFmtId="0" fontId="4" fillId="9" borderId="54" xfId="10" applyFont="1" applyFill="1" applyBorder="1" applyAlignment="1">
      <alignment vertical="top" wrapText="1"/>
    </xf>
    <xf numFmtId="0" fontId="4" fillId="12" borderId="53" xfId="2" applyFont="1" applyFill="1" applyBorder="1" applyAlignment="1">
      <alignment horizontal="left" vertical="top" wrapText="1"/>
    </xf>
    <xf numFmtId="0" fontId="4" fillId="12" borderId="54" xfId="2" applyFont="1" applyFill="1" applyBorder="1" applyAlignment="1">
      <alignment horizontal="left" vertical="top" wrapText="1"/>
    </xf>
    <xf numFmtId="0" fontId="4" fillId="12" borderId="53" xfId="10" applyFont="1" applyFill="1" applyBorder="1" applyAlignment="1">
      <alignment horizontal="left" vertical="top" wrapText="1"/>
    </xf>
    <xf numFmtId="0" fontId="4" fillId="12" borderId="54" xfId="10" applyFont="1" applyFill="1" applyBorder="1" applyAlignment="1">
      <alignment horizontal="left" vertical="top" wrapText="1"/>
    </xf>
    <xf numFmtId="0" fontId="3" fillId="3" borderId="48" xfId="10" applyFill="1" applyBorder="1" applyAlignment="1">
      <alignment vertical="top" wrapText="1"/>
    </xf>
    <xf numFmtId="0" fontId="3" fillId="3" borderId="1" xfId="10" applyFill="1" applyBorder="1" applyAlignment="1">
      <alignment vertical="top" wrapText="1"/>
    </xf>
    <xf numFmtId="0" fontId="3" fillId="3" borderId="60" xfId="10" applyFill="1" applyBorder="1" applyAlignment="1">
      <alignment vertical="top" wrapText="1"/>
    </xf>
    <xf numFmtId="0" fontId="3" fillId="3" borderId="11" xfId="10" applyFill="1" applyBorder="1" applyAlignment="1">
      <alignment vertical="top" wrapText="1"/>
    </xf>
    <xf numFmtId="0" fontId="4" fillId="12" borderId="47" xfId="2" applyFont="1" applyFill="1" applyBorder="1" applyAlignment="1">
      <alignment vertical="top" wrapText="1"/>
    </xf>
    <xf numFmtId="0" fontId="4" fillId="12" borderId="54" xfId="2" applyFont="1" applyFill="1" applyBorder="1" applyAlignment="1">
      <alignment vertical="top" wrapText="1"/>
    </xf>
    <xf numFmtId="0" fontId="4" fillId="9" borderId="47" xfId="10" applyFont="1" applyFill="1" applyBorder="1" applyAlignment="1">
      <alignment vertical="top" wrapText="1"/>
    </xf>
    <xf numFmtId="49" fontId="4" fillId="3" borderId="42" xfId="10" applyNumberFormat="1" applyFont="1" applyFill="1" applyBorder="1" applyAlignment="1">
      <alignment horizontal="left" vertical="top" wrapText="1"/>
    </xf>
    <xf numFmtId="49" fontId="4" fillId="3" borderId="50" xfId="10" applyNumberFormat="1" applyFont="1" applyFill="1" applyBorder="1" applyAlignment="1">
      <alignment horizontal="left" vertical="top" wrapText="1"/>
    </xf>
    <xf numFmtId="49" fontId="4" fillId="3" borderId="41" xfId="10" applyNumberFormat="1" applyFont="1" applyFill="1" applyBorder="1" applyAlignment="1">
      <alignment horizontal="left" vertical="top" wrapText="1"/>
    </xf>
    <xf numFmtId="0" fontId="4" fillId="7" borderId="45" xfId="2" applyFont="1" applyFill="1" applyBorder="1" applyAlignment="1">
      <alignment horizontal="center" vertical="center"/>
    </xf>
    <xf numFmtId="0" fontId="4" fillId="7" borderId="20" xfId="2" applyFont="1" applyFill="1" applyBorder="1" applyAlignment="1">
      <alignment horizontal="center" vertical="center"/>
    </xf>
    <xf numFmtId="0" fontId="4" fillId="7" borderId="56" xfId="2" applyFont="1" applyFill="1" applyBorder="1" applyAlignment="1">
      <alignment horizontal="center" vertical="center"/>
    </xf>
    <xf numFmtId="0" fontId="3" fillId="0" borderId="10" xfId="2" applyFont="1" applyBorder="1" applyAlignment="1">
      <alignment horizontal="left" vertical="top" wrapText="1"/>
    </xf>
    <xf numFmtId="0" fontId="3" fillId="0" borderId="39" xfId="2" applyFont="1" applyBorder="1" applyAlignment="1">
      <alignment horizontal="left" vertical="top"/>
    </xf>
    <xf numFmtId="0" fontId="3" fillId="0" borderId="43" xfId="2" applyFont="1" applyBorder="1" applyAlignment="1">
      <alignment horizontal="left" vertical="top"/>
    </xf>
    <xf numFmtId="0" fontId="3" fillId="0" borderId="3" xfId="2" applyFont="1" applyBorder="1" applyAlignment="1">
      <alignment horizontal="left" vertical="center"/>
    </xf>
    <xf numFmtId="49" fontId="3" fillId="0" borderId="2" xfId="2" applyNumberFormat="1" applyFont="1" applyBorder="1" applyAlignment="1">
      <alignment horizontal="left" vertical="top" wrapText="1"/>
    </xf>
    <xf numFmtId="49" fontId="3" fillId="0" borderId="2" xfId="2" applyNumberFormat="1" applyFont="1" applyBorder="1" applyAlignment="1">
      <alignment horizontal="left" vertical="center" wrapText="1"/>
    </xf>
    <xf numFmtId="0" fontId="4" fillId="7" borderId="2" xfId="2" applyFont="1" applyFill="1" applyBorder="1" applyAlignment="1">
      <alignment horizontal="center" vertical="center"/>
    </xf>
    <xf numFmtId="0" fontId="3" fillId="0" borderId="2" xfId="4" applyNumberFormat="1" applyFont="1" applyBorder="1" applyAlignment="1">
      <alignment horizontal="left" vertical="top" wrapText="1"/>
    </xf>
    <xf numFmtId="0" fontId="3" fillId="0" borderId="18" xfId="2" applyFont="1" applyBorder="1" applyAlignment="1">
      <alignment horizontal="center" vertical="center"/>
    </xf>
    <xf numFmtId="0" fontId="3" fillId="0" borderId="13" xfId="2" applyFont="1" applyBorder="1" applyAlignment="1">
      <alignment horizontal="center" vertical="center"/>
    </xf>
    <xf numFmtId="0" fontId="3" fillId="0" borderId="17" xfId="2" applyFont="1" applyBorder="1" applyAlignment="1">
      <alignment horizontal="center" vertical="center"/>
    </xf>
    <xf numFmtId="0" fontId="3" fillId="0" borderId="14" xfId="2" applyFont="1" applyBorder="1" applyAlignment="1">
      <alignment horizontal="center" vertical="center"/>
    </xf>
    <xf numFmtId="0" fontId="3" fillId="9" borderId="2" xfId="2" applyFont="1" applyFill="1" applyBorder="1" applyAlignment="1">
      <alignment horizontal="left" vertical="center" wrapText="1"/>
    </xf>
    <xf numFmtId="0" fontId="3" fillId="9" borderId="2" xfId="2" applyFont="1" applyFill="1" applyBorder="1" applyAlignment="1">
      <alignment horizontal="left" vertical="center"/>
    </xf>
    <xf numFmtId="9" fontId="19" fillId="13" borderId="18" xfId="2" applyNumberFormat="1" applyFont="1" applyFill="1" applyBorder="1" applyAlignment="1">
      <alignment horizontal="left" vertical="center" wrapText="1"/>
    </xf>
    <xf numFmtId="9" fontId="19" fillId="13" borderId="13" xfId="2" applyNumberFormat="1" applyFont="1" applyFill="1" applyBorder="1" applyAlignment="1">
      <alignment horizontal="left" vertical="center" wrapText="1"/>
    </xf>
    <xf numFmtId="0" fontId="3" fillId="9" borderId="29" xfId="2" applyFont="1" applyFill="1" applyBorder="1" applyAlignment="1">
      <alignment horizontal="left" vertical="center" wrapText="1"/>
    </xf>
    <xf numFmtId="0" fontId="3" fillId="9" borderId="46" xfId="2" applyFont="1" applyFill="1" applyBorder="1" applyAlignment="1">
      <alignment horizontal="left" vertical="center" wrapText="1"/>
    </xf>
    <xf numFmtId="0" fontId="3" fillId="9" borderId="55" xfId="2" applyFont="1" applyFill="1" applyBorder="1" applyAlignment="1">
      <alignment horizontal="left" vertical="center" wrapText="1"/>
    </xf>
    <xf numFmtId="0" fontId="3" fillId="9" borderId="45" xfId="2" applyFont="1" applyFill="1" applyBorder="1" applyAlignment="1">
      <alignment horizontal="left" vertical="center" wrapText="1"/>
    </xf>
    <xf numFmtId="0" fontId="3" fillId="9" borderId="20" xfId="2" applyFont="1" applyFill="1" applyBorder="1" applyAlignment="1">
      <alignment horizontal="left" vertical="center" wrapText="1"/>
    </xf>
    <xf numFmtId="0" fontId="3" fillId="9" borderId="56" xfId="2" applyFont="1" applyFill="1" applyBorder="1" applyAlignment="1">
      <alignment horizontal="left" vertical="center" wrapText="1"/>
    </xf>
    <xf numFmtId="0" fontId="17" fillId="4" borderId="10" xfId="2" applyFont="1" applyFill="1" applyBorder="1" applyAlignment="1">
      <alignment horizontal="left" vertical="center" wrapText="1"/>
    </xf>
    <xf numFmtId="0" fontId="17" fillId="4" borderId="39" xfId="2" applyFont="1" applyFill="1" applyBorder="1" applyAlignment="1">
      <alignment horizontal="left" vertical="center" wrapText="1"/>
    </xf>
    <xf numFmtId="0" fontId="17" fillId="4" borderId="43" xfId="2" applyFont="1" applyFill="1" applyBorder="1" applyAlignment="1">
      <alignment horizontal="left" vertical="center" wrapText="1"/>
    </xf>
    <xf numFmtId="0" fontId="3" fillId="11" borderId="2" xfId="2" applyFont="1" applyFill="1" applyBorder="1" applyAlignment="1">
      <alignment horizontal="left" vertical="center" wrapText="1"/>
    </xf>
    <xf numFmtId="0" fontId="3" fillId="4" borderId="2" xfId="2" applyFont="1" applyFill="1" applyBorder="1" applyAlignment="1">
      <alignment horizontal="left" vertical="center" wrapText="1"/>
    </xf>
    <xf numFmtId="0" fontId="17" fillId="4" borderId="2" xfId="2" applyFont="1" applyFill="1" applyBorder="1" applyAlignment="1">
      <alignment horizontal="left" vertical="center" wrapText="1"/>
    </xf>
    <xf numFmtId="0" fontId="8" fillId="0" borderId="0" xfId="2" applyFont="1" applyAlignment="1">
      <alignment horizontal="center" vertical="center"/>
    </xf>
    <xf numFmtId="9" fontId="19" fillId="13" borderId="18" xfId="2" applyNumberFormat="1" applyFont="1" applyFill="1" applyBorder="1" applyAlignment="1">
      <alignment horizontal="left" vertical="top" wrapText="1"/>
    </xf>
    <xf numFmtId="9" fontId="19" fillId="13" borderId="13" xfId="2" applyNumberFormat="1" applyFont="1" applyFill="1" applyBorder="1" applyAlignment="1">
      <alignment horizontal="left" vertical="top" wrapText="1"/>
    </xf>
  </cellXfs>
  <cellStyles count="12">
    <cellStyle name="Hyperlink 2" xfId="6" xr:uid="{00000000-0005-0000-0000-000003000000}"/>
    <cellStyle name="Normal 2" xfId="3" xr:uid="{00000000-0005-0000-0000-000004000000}"/>
    <cellStyle name="Standard 2" xfId="1" xr:uid="{00000000-0005-0000-0000-000006000000}"/>
    <cellStyle name="Standard 3" xfId="2" xr:uid="{00000000-0005-0000-0000-000007000000}"/>
    <cellStyle name="Standard 3 2" xfId="10" xr:uid="{00000000-0005-0000-0000-000008000000}"/>
    <cellStyle name="Standard 4" xfId="9" xr:uid="{00000000-0005-0000-0000-000009000000}"/>
    <cellStyle name="Standard 5" xfId="8" xr:uid="{00000000-0005-0000-0000-00000A000000}"/>
    <cellStyle name="Standard_Projekt Vorlage" xfId="5" xr:uid="{00000000-0005-0000-0000-00000B000000}"/>
    <cellStyle name="常规" xfId="0" builtinId="0"/>
    <cellStyle name="超链接" xfId="4" builtinId="8"/>
    <cellStyle name="千位分隔" xfId="11" builtinId="3"/>
    <cellStyle name="着色 2" xfId="7" builtinId="33"/>
  </cellStyles>
  <dxfs count="322">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
      <fill>
        <patternFill>
          <bgColor theme="0" tint="-0.34998626667073579"/>
        </patternFill>
      </fill>
    </dxf>
    <dxf>
      <fill>
        <patternFill>
          <bgColor rgb="FFFFFF99"/>
        </patternFill>
      </fill>
    </dxf>
  </dxfs>
  <tableStyles count="0" defaultTableStyle="TableStyleMedium9" defaultPivotStyle="PivotStyleLight16"/>
  <colors>
    <mruColors>
      <color rgb="FF003399"/>
      <color rgb="FFFFFF99"/>
      <color rgb="FFFFFFCC"/>
      <color rgb="FFCCFFFF"/>
      <color rgb="FFFFFF66"/>
      <color rgb="FFFCEB6A"/>
      <color rgb="FF99FF66"/>
      <color rgb="FF00FF00"/>
      <color rgb="FFCCFF33"/>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1</xdr:row>
      <xdr:rowOff>88900</xdr:rowOff>
    </xdr:from>
    <xdr:to>
      <xdr:col>0</xdr:col>
      <xdr:colOff>2071688</xdr:colOff>
      <xdr:row>4</xdr:row>
      <xdr:rowOff>222250</xdr:rowOff>
    </xdr:to>
    <xdr:pic>
      <xdr:nvPicPr>
        <xdr:cNvPr id="3" name="Picture 1">
          <a:extLst>
            <a:ext uri="{FF2B5EF4-FFF2-40B4-BE49-F238E27FC236}">
              <a16:creationId xmlns:a16="http://schemas.microsoft.com/office/drawing/2014/main" id="{345D7BA9-9440-4B0E-BCEF-F237D38EDC9F}"/>
            </a:ext>
          </a:extLst>
        </xdr:cNvPr>
        <xdr:cNvPicPr>
          <a:picLocks noChangeAspect="1"/>
        </xdr:cNvPicPr>
      </xdr:nvPicPr>
      <xdr:blipFill>
        <a:blip xmlns:r="http://schemas.openxmlformats.org/officeDocument/2006/relationships" r:embed="rId1"/>
        <a:srcRect/>
        <a:stretch>
          <a:fillRect/>
        </a:stretch>
      </xdr:blipFill>
      <xdr:spPr>
        <a:xfrm>
          <a:off x="171450" y="539750"/>
          <a:ext cx="1900238" cy="8445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0</xdr:row>
      <xdr:rowOff>203200</xdr:rowOff>
    </xdr:from>
    <xdr:to>
      <xdr:col>1</xdr:col>
      <xdr:colOff>657225</xdr:colOff>
      <xdr:row>0</xdr:row>
      <xdr:rowOff>800100</xdr:rowOff>
    </xdr:to>
    <xdr:pic>
      <xdr:nvPicPr>
        <xdr:cNvPr id="3" name="Picture 1">
          <a:extLst>
            <a:ext uri="{FF2B5EF4-FFF2-40B4-BE49-F238E27FC236}">
              <a16:creationId xmlns:a16="http://schemas.microsoft.com/office/drawing/2014/main" id="{9D40330B-833C-4759-BF79-B4FCD1D3813C}"/>
            </a:ext>
          </a:extLst>
        </xdr:cNvPr>
        <xdr:cNvPicPr>
          <a:picLocks noChangeAspect="1"/>
        </xdr:cNvPicPr>
      </xdr:nvPicPr>
      <xdr:blipFill>
        <a:blip xmlns:r="http://schemas.openxmlformats.org/officeDocument/2006/relationships" r:embed="rId1"/>
        <a:srcRect/>
        <a:stretch>
          <a:fillRect/>
        </a:stretch>
      </xdr:blipFill>
      <xdr:spPr>
        <a:xfrm>
          <a:off x="114300" y="203200"/>
          <a:ext cx="1343025" cy="5969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82550</xdr:colOff>
      <xdr:row>0</xdr:row>
      <xdr:rowOff>152400</xdr:rowOff>
    </xdr:from>
    <xdr:to>
      <xdr:col>1</xdr:col>
      <xdr:colOff>1209675</xdr:colOff>
      <xdr:row>0</xdr:row>
      <xdr:rowOff>749300</xdr:rowOff>
    </xdr:to>
    <xdr:pic>
      <xdr:nvPicPr>
        <xdr:cNvPr id="3" name="Picture 1">
          <a:extLst>
            <a:ext uri="{FF2B5EF4-FFF2-40B4-BE49-F238E27FC236}">
              <a16:creationId xmlns:a16="http://schemas.microsoft.com/office/drawing/2014/main" id="{E88E5DDB-79F8-457B-949A-418DC76EAC04}"/>
            </a:ext>
          </a:extLst>
        </xdr:cNvPr>
        <xdr:cNvPicPr>
          <a:picLocks noChangeAspect="1"/>
        </xdr:cNvPicPr>
      </xdr:nvPicPr>
      <xdr:blipFill>
        <a:blip xmlns:r="http://schemas.openxmlformats.org/officeDocument/2006/relationships" r:embed="rId1"/>
        <a:srcRect/>
        <a:stretch>
          <a:fillRect/>
        </a:stretch>
      </xdr:blipFill>
      <xdr:spPr>
        <a:xfrm>
          <a:off x="82550" y="152400"/>
          <a:ext cx="1343025" cy="5969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0</xdr:row>
      <xdr:rowOff>114300</xdr:rowOff>
    </xdr:from>
    <xdr:to>
      <xdr:col>0</xdr:col>
      <xdr:colOff>1419225</xdr:colOff>
      <xdr:row>0</xdr:row>
      <xdr:rowOff>711200</xdr:rowOff>
    </xdr:to>
    <xdr:pic>
      <xdr:nvPicPr>
        <xdr:cNvPr id="3" name="Picture 1">
          <a:extLst>
            <a:ext uri="{FF2B5EF4-FFF2-40B4-BE49-F238E27FC236}">
              <a16:creationId xmlns:a16="http://schemas.microsoft.com/office/drawing/2014/main" id="{884CCF19-2D8F-4925-BD80-CA7F64F61E65}"/>
            </a:ext>
          </a:extLst>
        </xdr:cNvPr>
        <xdr:cNvPicPr>
          <a:picLocks noChangeAspect="1"/>
        </xdr:cNvPicPr>
      </xdr:nvPicPr>
      <xdr:blipFill>
        <a:blip xmlns:r="http://schemas.openxmlformats.org/officeDocument/2006/relationships" r:embed="rId1"/>
        <a:srcRect/>
        <a:stretch>
          <a:fillRect/>
        </a:stretch>
      </xdr:blipFill>
      <xdr:spPr>
        <a:xfrm>
          <a:off x="76200" y="114300"/>
          <a:ext cx="1343025" cy="5969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0</xdr:rowOff>
    </xdr:from>
    <xdr:to>
      <xdr:col>1</xdr:col>
      <xdr:colOff>473574</xdr:colOff>
      <xdr:row>1</xdr:row>
      <xdr:rowOff>262618</xdr:rowOff>
    </xdr:to>
    <xdr:pic>
      <xdr:nvPicPr>
        <xdr:cNvPr id="2" name="Picture 1" descr="SGS-TUeV_Logo-Saar_SGS30mm_3c.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142875" y="0"/>
          <a:ext cx="866775" cy="847725"/>
        </a:xfrm>
        <a:prstGeom prst="rect">
          <a:avLst/>
        </a:prstGeom>
        <a:noFill/>
        <a:ln w="9525">
          <a:noFill/>
          <a:miter lim="800000"/>
          <a:headEnd/>
          <a:tailEnd/>
        </a:ln>
      </xdr:spPr>
    </xdr:pic>
    <xdr:clientData/>
  </xdr:twoCellAnchor>
  <xdr:twoCellAnchor editAs="oneCell">
    <xdr:from>
      <xdr:col>0</xdr:col>
      <xdr:colOff>142875</xdr:colOff>
      <xdr:row>0</xdr:row>
      <xdr:rowOff>0</xdr:rowOff>
    </xdr:from>
    <xdr:to>
      <xdr:col>1</xdr:col>
      <xdr:colOff>473574</xdr:colOff>
      <xdr:row>1</xdr:row>
      <xdr:rowOff>262618</xdr:rowOff>
    </xdr:to>
    <xdr:pic>
      <xdr:nvPicPr>
        <xdr:cNvPr id="3" name="Picture 1" descr="SGS-TUeV_Logo-Saar_SGS30mm_3c.jp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rcRect/>
        <a:stretch>
          <a:fillRect/>
        </a:stretch>
      </xdr:blipFill>
      <xdr:spPr bwMode="auto">
        <a:xfrm>
          <a:off x="142875" y="0"/>
          <a:ext cx="845049" cy="853168"/>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165100</xdr:rowOff>
    </xdr:from>
    <xdr:to>
      <xdr:col>0</xdr:col>
      <xdr:colOff>1438275</xdr:colOff>
      <xdr:row>0</xdr:row>
      <xdr:rowOff>762000</xdr:rowOff>
    </xdr:to>
    <xdr:pic>
      <xdr:nvPicPr>
        <xdr:cNvPr id="3" name="Picture 1">
          <a:extLst>
            <a:ext uri="{FF2B5EF4-FFF2-40B4-BE49-F238E27FC236}">
              <a16:creationId xmlns:a16="http://schemas.microsoft.com/office/drawing/2014/main" id="{CB2A0E06-0F29-48AA-A08C-15A46A67784C}"/>
            </a:ext>
          </a:extLst>
        </xdr:cNvPr>
        <xdr:cNvPicPr>
          <a:picLocks noChangeAspect="1"/>
        </xdr:cNvPicPr>
      </xdr:nvPicPr>
      <xdr:blipFill>
        <a:blip xmlns:r="http://schemas.openxmlformats.org/officeDocument/2006/relationships" r:embed="rId1"/>
        <a:srcRect/>
        <a:stretch>
          <a:fillRect/>
        </a:stretch>
      </xdr:blipFill>
      <xdr:spPr>
        <a:xfrm>
          <a:off x="95250" y="165100"/>
          <a:ext cx="1343025" cy="5969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0808;&#36215;-SGS&#21672;&#35810;/SGS/FuSa/Technical/Audit/Audit%20Checklist/Checklist_Audit_ISO_26262-2.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fetyPlan_Template_V1.1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evaluation criterions"/>
      <sheetName val="Audit_Result"/>
      <sheetName val="Tabelle2"/>
      <sheetName val="data"/>
      <sheetName val="Template_History"/>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O 26262 Overview"/>
      <sheetName val="Cover"/>
      <sheetName val="1_Responsibilities_Change_Histo"/>
      <sheetName val="General-Description"/>
      <sheetName val="Description of 2_Safety_plan"/>
      <sheetName val="2_Safety_plan"/>
      <sheetName val="Description of 3_Document_list"/>
      <sheetName val="3_DocList_Assessmentplan "/>
      <sheetName val="Tabelle1"/>
    </sheetNames>
    <sheetDataSet>
      <sheetData sheetId="0"/>
      <sheetData sheetId="1">
        <row r="3">
          <cell r="B3" t="str">
            <v>Safety Plan</v>
          </cell>
        </row>
        <row r="7">
          <cell r="B7" t="str">
            <v>Project: ECU</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E3B8F-E7A5-42E6-B685-9C3187047F42}">
  <sheetPr>
    <tabColor theme="8" tint="-0.249977111117893"/>
  </sheetPr>
  <dimension ref="A1:F37"/>
  <sheetViews>
    <sheetView workbookViewId="0">
      <selection activeCell="B44" sqref="B44"/>
    </sheetView>
  </sheetViews>
  <sheetFormatPr defaultRowHeight="14" x14ac:dyDescent="0.25"/>
  <cols>
    <col min="1" max="1" width="30.453125" customWidth="1"/>
    <col min="2" max="2" width="11.36328125" customWidth="1"/>
    <col min="3" max="3" width="33.7265625" customWidth="1"/>
    <col min="6" max="6" width="29.6328125" customWidth="1"/>
  </cols>
  <sheetData>
    <row r="1" spans="1:6" ht="35.5" customHeight="1" x14ac:dyDescent="0.25">
      <c r="A1" s="215"/>
      <c r="B1" s="218" t="s">
        <v>0</v>
      </c>
      <c r="C1" s="219"/>
      <c r="D1" s="224"/>
      <c r="E1" s="225"/>
      <c r="F1" s="226"/>
    </row>
    <row r="2" spans="1:6" x14ac:dyDescent="0.25">
      <c r="A2" s="216"/>
      <c r="B2" s="220"/>
      <c r="C2" s="221"/>
      <c r="D2" s="227" t="s">
        <v>1</v>
      </c>
      <c r="E2" s="228"/>
      <c r="F2" s="229"/>
    </row>
    <row r="3" spans="1:6" ht="28" customHeight="1" x14ac:dyDescent="0.25">
      <c r="A3" s="216"/>
      <c r="B3" s="220"/>
      <c r="C3" s="221"/>
      <c r="D3" s="224"/>
      <c r="E3" s="225"/>
      <c r="F3" s="226"/>
    </row>
    <row r="4" spans="1:6" x14ac:dyDescent="0.25">
      <c r="A4" s="216"/>
      <c r="B4" s="220"/>
      <c r="C4" s="221"/>
      <c r="D4" s="227" t="s">
        <v>2</v>
      </c>
      <c r="E4" s="228"/>
      <c r="F4" s="229"/>
    </row>
    <row r="5" spans="1:6" ht="40" customHeight="1" x14ac:dyDescent="0.25">
      <c r="A5" s="216"/>
      <c r="B5" s="220"/>
      <c r="C5" s="221"/>
      <c r="D5" s="224"/>
      <c r="E5" s="225"/>
      <c r="F5" s="226"/>
    </row>
    <row r="6" spans="1:6" ht="14.5" thickBot="1" x14ac:dyDescent="0.3">
      <c r="A6" s="217"/>
      <c r="B6" s="222"/>
      <c r="C6" s="223"/>
      <c r="D6" s="227" t="s">
        <v>3</v>
      </c>
      <c r="E6" s="228"/>
      <c r="F6" s="229"/>
    </row>
    <row r="7" spans="1:6" ht="31" customHeight="1" x14ac:dyDescent="0.25">
      <c r="A7" s="186" t="s">
        <v>4</v>
      </c>
      <c r="B7" s="230"/>
      <c r="C7" s="231"/>
      <c r="D7" s="231"/>
      <c r="E7" s="231"/>
      <c r="F7" s="232"/>
    </row>
    <row r="10" spans="1:6" ht="14.5" thickBot="1" x14ac:dyDescent="0.3"/>
    <row r="11" spans="1:6" ht="14.5" x14ac:dyDescent="0.3">
      <c r="A11" s="199" t="s">
        <v>5</v>
      </c>
      <c r="B11" s="200"/>
      <c r="C11" s="200"/>
      <c r="D11" s="200"/>
      <c r="E11" s="200"/>
      <c r="F11" s="201"/>
    </row>
    <row r="12" spans="1:6" x14ac:dyDescent="0.25">
      <c r="A12" s="186" t="s">
        <v>6</v>
      </c>
      <c r="B12" s="186" t="s">
        <v>7</v>
      </c>
      <c r="C12" s="202" t="s">
        <v>8</v>
      </c>
      <c r="D12" s="212"/>
      <c r="E12" s="202" t="s">
        <v>9</v>
      </c>
      <c r="F12" s="212"/>
    </row>
    <row r="13" spans="1:6" x14ac:dyDescent="0.25">
      <c r="A13" s="187"/>
      <c r="B13" s="185"/>
      <c r="C13" s="204"/>
      <c r="D13" s="213"/>
      <c r="E13" s="204"/>
      <c r="F13" s="214"/>
    </row>
    <row r="14" spans="1:6" x14ac:dyDescent="0.25">
      <c r="A14" s="187"/>
      <c r="B14" s="185"/>
      <c r="C14" s="204"/>
      <c r="D14" s="213"/>
      <c r="E14" s="204"/>
      <c r="F14" s="214"/>
    </row>
    <row r="15" spans="1:6" x14ac:dyDescent="0.25">
      <c r="A15" s="187"/>
      <c r="B15" s="185"/>
      <c r="C15" s="204"/>
      <c r="D15" s="213"/>
      <c r="E15" s="204"/>
      <c r="F15" s="214"/>
    </row>
    <row r="16" spans="1:6" x14ac:dyDescent="0.25">
      <c r="A16" s="187"/>
      <c r="B16" s="185"/>
      <c r="C16" s="204"/>
      <c r="D16" s="213"/>
      <c r="E16" s="204"/>
      <c r="F16" s="214"/>
    </row>
    <row r="17" spans="1:6" x14ac:dyDescent="0.25">
      <c r="A17" s="187"/>
      <c r="B17" s="185"/>
      <c r="C17" s="204"/>
      <c r="D17" s="213"/>
      <c r="E17" s="204"/>
      <c r="F17" s="214"/>
    </row>
    <row r="18" spans="1:6" x14ac:dyDescent="0.25">
      <c r="A18" s="187"/>
      <c r="B18" s="185"/>
      <c r="C18" s="204"/>
      <c r="D18" s="213"/>
      <c r="E18" s="204"/>
      <c r="F18" s="214"/>
    </row>
    <row r="19" spans="1:6" x14ac:dyDescent="0.25">
      <c r="A19" s="187"/>
      <c r="B19" s="185"/>
      <c r="C19" s="204"/>
      <c r="D19" s="213"/>
      <c r="E19" s="204"/>
      <c r="F19" s="214"/>
    </row>
    <row r="20" spans="1:6" x14ac:dyDescent="0.25">
      <c r="A20" s="187"/>
      <c r="B20" s="185"/>
      <c r="C20" s="204"/>
      <c r="D20" s="213"/>
      <c r="E20" s="204"/>
      <c r="F20" s="214"/>
    </row>
    <row r="21" spans="1:6" ht="14.5" thickBot="1" x14ac:dyDescent="0.3">
      <c r="A21" s="188"/>
      <c r="B21" s="189"/>
      <c r="C21" s="206"/>
      <c r="D21" s="210"/>
      <c r="E21" s="206"/>
      <c r="F21" s="211"/>
    </row>
    <row r="24" spans="1:6" ht="14.5" thickBot="1" x14ac:dyDescent="0.3"/>
    <row r="25" spans="1:6" ht="14.5" x14ac:dyDescent="0.3">
      <c r="A25" s="199" t="s">
        <v>10</v>
      </c>
      <c r="B25" s="200"/>
      <c r="C25" s="200"/>
      <c r="D25" s="200"/>
      <c r="E25" s="200"/>
      <c r="F25" s="201"/>
    </row>
    <row r="26" spans="1:6" x14ac:dyDescent="0.25">
      <c r="A26" s="186" t="s">
        <v>8</v>
      </c>
      <c r="B26" s="186" t="s">
        <v>11</v>
      </c>
      <c r="C26" s="202" t="s">
        <v>2</v>
      </c>
      <c r="D26" s="212"/>
      <c r="E26" s="202" t="s">
        <v>3</v>
      </c>
      <c r="F26" s="212"/>
    </row>
    <row r="27" spans="1:6" x14ac:dyDescent="0.25">
      <c r="A27" s="190" t="s">
        <v>12</v>
      </c>
      <c r="B27" s="185"/>
      <c r="C27" s="204"/>
      <c r="D27" s="213"/>
      <c r="E27" s="204"/>
      <c r="F27" s="214"/>
    </row>
    <row r="28" spans="1:6" ht="14.5" thickBot="1" x14ac:dyDescent="0.3">
      <c r="A28" s="191" t="s">
        <v>13</v>
      </c>
      <c r="B28" s="189"/>
      <c r="C28" s="206"/>
      <c r="D28" s="210"/>
      <c r="E28" s="206"/>
      <c r="F28" s="211"/>
    </row>
    <row r="31" spans="1:6" ht="14.5" thickBot="1" x14ac:dyDescent="0.3"/>
    <row r="32" spans="1:6" ht="14.5" x14ac:dyDescent="0.3">
      <c r="A32" s="199" t="s">
        <v>14</v>
      </c>
      <c r="B32" s="200"/>
      <c r="C32" s="200"/>
      <c r="D32" s="200"/>
      <c r="E32" s="200"/>
      <c r="F32" s="201"/>
    </row>
    <row r="33" spans="1:6" x14ac:dyDescent="0.25">
      <c r="A33" s="186" t="s">
        <v>15</v>
      </c>
      <c r="B33" s="202" t="s">
        <v>16</v>
      </c>
      <c r="C33" s="203"/>
      <c r="D33" s="193" t="s">
        <v>1</v>
      </c>
      <c r="E33" s="193" t="s">
        <v>2</v>
      </c>
      <c r="F33" s="192" t="s">
        <v>17</v>
      </c>
    </row>
    <row r="34" spans="1:6" x14ac:dyDescent="0.25">
      <c r="A34" s="190"/>
      <c r="B34" s="204"/>
      <c r="C34" s="205"/>
      <c r="D34" s="185"/>
      <c r="E34" s="185"/>
      <c r="F34" s="194"/>
    </row>
    <row r="35" spans="1:6" x14ac:dyDescent="0.25">
      <c r="A35" s="196"/>
      <c r="B35" s="208"/>
      <c r="C35" s="209"/>
      <c r="D35" s="197"/>
      <c r="E35" s="197"/>
      <c r="F35" s="198"/>
    </row>
    <row r="36" spans="1:6" x14ac:dyDescent="0.25">
      <c r="A36" s="196"/>
      <c r="B36" s="208"/>
      <c r="C36" s="209"/>
      <c r="D36" s="197"/>
      <c r="E36" s="197"/>
      <c r="F36" s="198"/>
    </row>
    <row r="37" spans="1:6" ht="14.5" thickBot="1" x14ac:dyDescent="0.3">
      <c r="A37" s="191"/>
      <c r="B37" s="206"/>
      <c r="C37" s="207"/>
      <c r="D37" s="189"/>
      <c r="E37" s="189"/>
      <c r="F37" s="195"/>
    </row>
  </sheetData>
  <mergeCells count="43">
    <mergeCell ref="E13:F13"/>
    <mergeCell ref="A1:A6"/>
    <mergeCell ref="B1:C6"/>
    <mergeCell ref="D1:F1"/>
    <mergeCell ref="D2:F2"/>
    <mergeCell ref="D3:F3"/>
    <mergeCell ref="D4:F4"/>
    <mergeCell ref="D5:F5"/>
    <mergeCell ref="B7:F7"/>
    <mergeCell ref="D6:F6"/>
    <mergeCell ref="A11:F11"/>
    <mergeCell ref="C12:D12"/>
    <mergeCell ref="E12:F12"/>
    <mergeCell ref="E20:F20"/>
    <mergeCell ref="E21:F21"/>
    <mergeCell ref="C13:D13"/>
    <mergeCell ref="C14:D14"/>
    <mergeCell ref="C15:D15"/>
    <mergeCell ref="C16:D16"/>
    <mergeCell ref="C17:D17"/>
    <mergeCell ref="C18:D18"/>
    <mergeCell ref="C19:D19"/>
    <mergeCell ref="C20:D20"/>
    <mergeCell ref="E14:F14"/>
    <mergeCell ref="E15:F15"/>
    <mergeCell ref="E16:F16"/>
    <mergeCell ref="E17:F17"/>
    <mergeCell ref="E18:F18"/>
    <mergeCell ref="E19:F19"/>
    <mergeCell ref="C28:D28"/>
    <mergeCell ref="E28:F28"/>
    <mergeCell ref="C21:D21"/>
    <mergeCell ref="A25:F25"/>
    <mergeCell ref="C26:D26"/>
    <mergeCell ref="E26:F26"/>
    <mergeCell ref="C27:D27"/>
    <mergeCell ref="E27:F27"/>
    <mergeCell ref="A32:F32"/>
    <mergeCell ref="B33:C33"/>
    <mergeCell ref="B34:C34"/>
    <mergeCell ref="B37:C37"/>
    <mergeCell ref="B35:C35"/>
    <mergeCell ref="B36:C36"/>
  </mergeCells>
  <phoneticPr fontId="28"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tabColor theme="8" tint="-0.249977111117893"/>
    <pageSetUpPr fitToPage="1"/>
  </sheetPr>
  <dimension ref="A1:K15"/>
  <sheetViews>
    <sheetView topLeftCell="A7" zoomScaleNormal="100" workbookViewId="0">
      <selection activeCell="A3" sqref="A3:G3"/>
    </sheetView>
  </sheetViews>
  <sheetFormatPr defaultColWidth="11.453125" defaultRowHeight="12.5" x14ac:dyDescent="0.25"/>
  <cols>
    <col min="1" max="3" width="11.453125" style="1"/>
    <col min="4" max="4" width="18.90625" style="1" customWidth="1"/>
    <col min="5" max="5" width="35.7265625" style="1" customWidth="1"/>
    <col min="6" max="7" width="21.7265625" style="1" customWidth="1"/>
    <col min="8" max="16384" width="11.453125" style="1"/>
  </cols>
  <sheetData>
    <row r="1" spans="1:11" ht="68.25" customHeight="1" thickBot="1" x14ac:dyDescent="0.3">
      <c r="A1" s="254" t="str">
        <f>Cover!B1</f>
        <v>Safety Plan</v>
      </c>
      <c r="B1" s="254"/>
      <c r="C1" s="254"/>
      <c r="D1" s="254"/>
      <c r="E1" s="254"/>
      <c r="F1" s="254"/>
      <c r="G1" s="254"/>
      <c r="H1" s="181"/>
      <c r="I1" s="181"/>
      <c r="J1" s="181"/>
      <c r="K1" s="181"/>
    </row>
    <row r="2" spans="1:11" ht="15" customHeight="1" x14ac:dyDescent="0.25">
      <c r="A2" s="251" t="s">
        <v>18</v>
      </c>
      <c r="B2" s="252"/>
      <c r="C2" s="252"/>
      <c r="D2" s="252"/>
      <c r="E2" s="252"/>
      <c r="F2" s="252"/>
      <c r="G2" s="253"/>
    </row>
    <row r="3" spans="1:11" ht="131.25" customHeight="1" thickBot="1" x14ac:dyDescent="0.35">
      <c r="A3" s="255" t="s">
        <v>19</v>
      </c>
      <c r="B3" s="256"/>
      <c r="C3" s="256"/>
      <c r="D3" s="256"/>
      <c r="E3" s="256"/>
      <c r="F3" s="256"/>
      <c r="G3" s="257"/>
      <c r="I3" s="16"/>
    </row>
    <row r="4" spans="1:11" ht="14" x14ac:dyDescent="0.25">
      <c r="A4" s="251" t="s">
        <v>20</v>
      </c>
      <c r="B4" s="252"/>
      <c r="C4" s="252"/>
      <c r="D4" s="252"/>
      <c r="E4" s="252"/>
      <c r="F4" s="252"/>
      <c r="G4" s="253"/>
    </row>
    <row r="5" spans="1:11" ht="111" customHeight="1" thickBot="1" x14ac:dyDescent="0.3">
      <c r="A5" s="258" t="s">
        <v>21</v>
      </c>
      <c r="B5" s="259"/>
      <c r="C5" s="259"/>
      <c r="D5" s="259"/>
      <c r="E5" s="259"/>
      <c r="F5" s="259"/>
      <c r="G5" s="260"/>
    </row>
    <row r="6" spans="1:11" ht="20.25" customHeight="1" x14ac:dyDescent="0.25">
      <c r="A6" s="251" t="s">
        <v>22</v>
      </c>
      <c r="B6" s="252"/>
      <c r="C6" s="252"/>
      <c r="D6" s="252"/>
      <c r="E6" s="252"/>
      <c r="F6" s="252"/>
      <c r="G6" s="253"/>
    </row>
    <row r="7" spans="1:11" ht="126" customHeight="1" thickBot="1" x14ac:dyDescent="0.3">
      <c r="A7" s="255" t="s">
        <v>23</v>
      </c>
      <c r="B7" s="261"/>
      <c r="C7" s="261"/>
      <c r="D7" s="261"/>
      <c r="E7" s="261"/>
      <c r="F7" s="261"/>
      <c r="G7" s="262"/>
    </row>
    <row r="8" spans="1:11" ht="18" customHeight="1" x14ac:dyDescent="0.25">
      <c r="A8" s="251" t="s">
        <v>24</v>
      </c>
      <c r="B8" s="252"/>
      <c r="C8" s="252"/>
      <c r="D8" s="252"/>
      <c r="E8" s="252"/>
      <c r="F8" s="252"/>
      <c r="G8" s="253"/>
    </row>
    <row r="9" spans="1:11" ht="18" customHeight="1" x14ac:dyDescent="0.25">
      <c r="A9" s="236" t="s">
        <v>25</v>
      </c>
      <c r="B9" s="237"/>
      <c r="C9" s="237"/>
      <c r="D9" s="237"/>
      <c r="E9" s="237"/>
      <c r="F9" s="237"/>
      <c r="G9" s="238"/>
    </row>
    <row r="10" spans="1:11" ht="18" customHeight="1" x14ac:dyDescent="0.25">
      <c r="A10" s="239" t="s">
        <v>26</v>
      </c>
      <c r="B10" s="240"/>
      <c r="C10" s="240"/>
      <c r="D10" s="240"/>
      <c r="E10" s="240"/>
      <c r="F10" s="240"/>
      <c r="G10" s="241"/>
    </row>
    <row r="11" spans="1:11" ht="18" customHeight="1" x14ac:dyDescent="0.25">
      <c r="A11" s="242" t="s">
        <v>27</v>
      </c>
      <c r="B11" s="243"/>
      <c r="C11" s="243"/>
      <c r="D11" s="243"/>
      <c r="E11" s="243"/>
      <c r="F11" s="243"/>
      <c r="G11" s="244"/>
    </row>
    <row r="12" spans="1:11" ht="18" customHeight="1" x14ac:dyDescent="0.25">
      <c r="A12" s="245" t="s">
        <v>28</v>
      </c>
      <c r="B12" s="246"/>
      <c r="C12" s="246"/>
      <c r="D12" s="246"/>
      <c r="E12" s="246"/>
      <c r="F12" s="246"/>
      <c r="G12" s="247"/>
    </row>
    <row r="13" spans="1:11" ht="18" customHeight="1" thickBot="1" x14ac:dyDescent="0.3">
      <c r="A13" s="248" t="s">
        <v>29</v>
      </c>
      <c r="B13" s="249"/>
      <c r="C13" s="249"/>
      <c r="D13" s="249"/>
      <c r="E13" s="249"/>
      <c r="F13" s="249"/>
      <c r="G13" s="250"/>
    </row>
    <row r="14" spans="1:11" ht="14" x14ac:dyDescent="0.25">
      <c r="A14" s="251" t="s">
        <v>30</v>
      </c>
      <c r="B14" s="252"/>
      <c r="C14" s="252"/>
      <c r="D14" s="252"/>
      <c r="E14" s="252"/>
      <c r="F14" s="252"/>
      <c r="G14" s="253"/>
    </row>
    <row r="15" spans="1:11" ht="183" customHeight="1" thickBot="1" x14ac:dyDescent="0.3">
      <c r="A15" s="233" t="s">
        <v>31</v>
      </c>
      <c r="B15" s="234"/>
      <c r="C15" s="234"/>
      <c r="D15" s="234"/>
      <c r="E15" s="234"/>
      <c r="F15" s="234"/>
      <c r="G15" s="235"/>
    </row>
  </sheetData>
  <customSheetViews>
    <customSheetView guid="{A881EEAB-4C12-45E2-A786-FAF50DD5927A}" fitToPage="1">
      <selection activeCell="A9" sqref="A9:E9"/>
      <pageMargins left="0" right="0" top="0" bottom="0" header="0" footer="0"/>
      <pageSetup paperSize="9" scale="73" orientation="portrait" r:id="rId1"/>
      <headerFooter>
        <oddHeader>&amp;CSheet: &amp;A</oddHeader>
        <oddFooter>&amp;L&amp;F&amp;C&amp;P/&amp;N&amp;R&amp;D</oddFooter>
      </headerFooter>
    </customSheetView>
  </customSheetViews>
  <mergeCells count="15">
    <mergeCell ref="A8:G8"/>
    <mergeCell ref="A1:G1"/>
    <mergeCell ref="A2:G2"/>
    <mergeCell ref="A3:G3"/>
    <mergeCell ref="A4:G4"/>
    <mergeCell ref="A5:G5"/>
    <mergeCell ref="A6:G6"/>
    <mergeCell ref="A7:G7"/>
    <mergeCell ref="A15:G15"/>
    <mergeCell ref="A9:G9"/>
    <mergeCell ref="A10:G10"/>
    <mergeCell ref="A11:G11"/>
    <mergeCell ref="A12:G12"/>
    <mergeCell ref="A13:G13"/>
    <mergeCell ref="A14:G14"/>
  </mergeCells>
  <phoneticPr fontId="28" type="noConversion"/>
  <pageMargins left="0.70866141732283472" right="0.70866141732283472" top="0.74803149606299213" bottom="0.74803149606299213" header="0.31496062992125984" footer="0.31496062992125984"/>
  <pageSetup paperSize="9" scale="73" orientation="portrait" r:id="rId2"/>
  <headerFooter>
    <oddHeader>&amp;CSheet: &amp;A</oddHeader>
    <oddFooter>&amp;L&amp;F&amp;C&amp;P/&amp;N&amp;R&amp;D</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tabColor theme="8" tint="-0.249977111117893"/>
    <pageSetUpPr fitToPage="1"/>
  </sheetPr>
  <dimension ref="A1:AJ47"/>
  <sheetViews>
    <sheetView showGridLines="0" zoomScaleNormal="100" zoomScaleSheetLayoutView="75" zoomScalePageLayoutView="50" workbookViewId="0">
      <selection activeCell="E20" sqref="E20:H20"/>
    </sheetView>
  </sheetViews>
  <sheetFormatPr defaultColWidth="11.453125" defaultRowHeight="14" x14ac:dyDescent="0.3"/>
  <cols>
    <col min="1" max="1" width="3.08984375" style="3" customWidth="1"/>
    <col min="2" max="2" width="21.90625" style="15" customWidth="1"/>
    <col min="3" max="3" width="16.08984375" style="15" customWidth="1"/>
    <col min="4" max="4" width="15.90625" style="15" customWidth="1"/>
    <col min="5" max="5" width="9.08984375" style="15" customWidth="1"/>
    <col min="6" max="6" width="8.90625" style="15" customWidth="1"/>
    <col min="7" max="7" width="5.7265625" style="15" customWidth="1"/>
    <col min="8" max="8" width="6.90625" style="9" customWidth="1"/>
    <col min="9" max="9" width="15" style="9" customWidth="1"/>
    <col min="10" max="10" width="13.7265625" style="2" customWidth="1"/>
    <col min="11" max="11" width="15" style="2" customWidth="1"/>
    <col min="12" max="12" width="19.26953125" style="2" customWidth="1"/>
    <col min="13" max="13" width="14.26953125" style="2" customWidth="1"/>
    <col min="14" max="14" width="17.08984375" style="2" customWidth="1"/>
    <col min="15" max="15" width="13.7265625" style="2" customWidth="1"/>
    <col min="16" max="16" width="12.90625" style="2" customWidth="1"/>
    <col min="17" max="17" width="11" style="2" customWidth="1"/>
    <col min="18" max="18" width="16.453125" style="2" customWidth="1"/>
    <col min="19" max="19" width="12" style="2" customWidth="1"/>
    <col min="20" max="20" width="4.90625" style="2" customWidth="1"/>
    <col min="21" max="21" width="15.26953125" style="2" customWidth="1"/>
    <col min="22" max="22" width="1.08984375" style="3" customWidth="1"/>
    <col min="23" max="23" width="21.90625" style="3" customWidth="1"/>
    <col min="24" max="24" width="1.08984375" style="3" customWidth="1"/>
    <col min="25" max="25" width="20.7265625" style="3" customWidth="1"/>
    <col min="26" max="26" width="4" style="8" customWidth="1"/>
    <col min="27" max="27" width="15.453125" style="3" customWidth="1"/>
    <col min="28" max="28" width="1.08984375" style="3" customWidth="1"/>
    <col min="29" max="29" width="22.453125" style="3" customWidth="1"/>
    <col min="30" max="30" width="15.453125" style="3" customWidth="1"/>
    <col min="31" max="31" width="3.453125" style="3" customWidth="1"/>
    <col min="32" max="32" width="16.08984375" style="3" customWidth="1"/>
    <col min="33" max="33" width="0.90625" style="3" customWidth="1"/>
    <col min="34" max="34" width="12.453125" style="8" customWidth="1"/>
    <col min="35" max="35" width="14.26953125" style="8" customWidth="1"/>
    <col min="36" max="36" width="7.453125" style="8" customWidth="1"/>
    <col min="37" max="16384" width="11.453125" style="3"/>
  </cols>
  <sheetData>
    <row r="1" spans="1:36" ht="66" customHeight="1" thickBot="1" x14ac:dyDescent="0.35">
      <c r="A1" s="308" t="str">
        <f>Cover!B1</f>
        <v>Safety Plan</v>
      </c>
      <c r="B1" s="308"/>
      <c r="C1" s="308"/>
      <c r="D1" s="308"/>
      <c r="E1" s="308"/>
      <c r="F1" s="308"/>
      <c r="G1" s="308"/>
      <c r="H1" s="308"/>
      <c r="I1" s="308"/>
      <c r="J1" s="308"/>
      <c r="K1" s="308"/>
      <c r="L1" s="308"/>
      <c r="W1" s="2"/>
      <c r="X1" s="2"/>
      <c r="Y1" s="2"/>
      <c r="Z1" s="2"/>
      <c r="AA1" s="2"/>
      <c r="AC1" s="2"/>
      <c r="AD1" s="2"/>
      <c r="AE1" s="2"/>
      <c r="AF1" s="2"/>
      <c r="AH1" s="2"/>
      <c r="AI1" s="2"/>
      <c r="AJ1" s="2"/>
    </row>
    <row r="2" spans="1:36" ht="34" customHeight="1" thickBot="1" x14ac:dyDescent="0.35">
      <c r="A2" s="290" t="s">
        <v>32</v>
      </c>
      <c r="B2" s="318"/>
      <c r="C2" s="318"/>
      <c r="D2" s="318"/>
      <c r="E2" s="318"/>
      <c r="F2" s="318"/>
      <c r="G2" s="318"/>
      <c r="H2" s="318"/>
      <c r="I2" s="318"/>
      <c r="J2" s="318"/>
      <c r="K2" s="318"/>
      <c r="L2" s="319"/>
      <c r="W2" s="2"/>
      <c r="X2" s="2"/>
      <c r="Y2" s="2"/>
      <c r="Z2" s="2"/>
      <c r="AA2" s="2"/>
      <c r="AC2" s="2"/>
      <c r="AD2" s="2"/>
      <c r="AE2" s="2"/>
      <c r="AF2" s="2"/>
      <c r="AH2" s="2"/>
      <c r="AI2" s="2"/>
      <c r="AJ2" s="2"/>
    </row>
    <row r="3" spans="1:36" ht="34" customHeight="1" thickBot="1" x14ac:dyDescent="0.35">
      <c r="A3" s="183"/>
      <c r="B3" s="184"/>
      <c r="C3" s="184"/>
      <c r="D3" s="184"/>
      <c r="E3" s="184"/>
      <c r="F3" s="184"/>
      <c r="G3" s="184"/>
      <c r="H3" s="184"/>
      <c r="I3" s="184"/>
      <c r="J3" s="184"/>
      <c r="K3" s="184"/>
      <c r="L3" s="184"/>
      <c r="W3" s="2"/>
      <c r="X3" s="2"/>
      <c r="Y3" s="2"/>
      <c r="Z3" s="2"/>
      <c r="AA3" s="2"/>
      <c r="AC3" s="2"/>
      <c r="AD3" s="2"/>
      <c r="AE3" s="2"/>
      <c r="AF3" s="2"/>
      <c r="AH3" s="2"/>
      <c r="AI3" s="2"/>
      <c r="AJ3" s="2"/>
    </row>
    <row r="4" spans="1:36" ht="34" customHeight="1" thickBot="1" x14ac:dyDescent="0.35">
      <c r="A4" s="290" t="s">
        <v>33</v>
      </c>
      <c r="B4" s="318"/>
      <c r="C4" s="318"/>
      <c r="D4" s="318"/>
      <c r="E4" s="318"/>
      <c r="F4" s="318"/>
      <c r="G4" s="318"/>
      <c r="H4" s="318"/>
      <c r="I4" s="318"/>
      <c r="J4" s="318"/>
      <c r="K4" s="318"/>
      <c r="L4" s="319"/>
      <c r="W4" s="2"/>
      <c r="X4" s="2"/>
      <c r="Y4" s="2"/>
      <c r="Z4" s="2"/>
      <c r="AA4" s="2"/>
      <c r="AC4" s="2"/>
      <c r="AD4" s="2"/>
      <c r="AE4" s="2"/>
      <c r="AF4" s="2"/>
      <c r="AH4" s="2"/>
      <c r="AI4" s="2"/>
      <c r="AJ4" s="2"/>
    </row>
    <row r="5" spans="1:36" ht="34" customHeight="1" x14ac:dyDescent="0.3">
      <c r="A5" s="320" t="s">
        <v>34</v>
      </c>
      <c r="B5" s="320"/>
      <c r="C5" s="320"/>
      <c r="D5" s="320"/>
      <c r="E5" s="184"/>
      <c r="F5" s="184"/>
      <c r="G5" s="184"/>
      <c r="H5" s="184"/>
      <c r="I5" s="184"/>
      <c r="J5" s="184"/>
      <c r="K5" s="184"/>
      <c r="L5" s="184"/>
      <c r="W5" s="2"/>
      <c r="X5" s="2"/>
      <c r="Y5" s="2"/>
      <c r="Z5" s="2"/>
      <c r="AA5" s="2"/>
      <c r="AC5" s="2"/>
      <c r="AD5" s="2"/>
      <c r="AE5" s="2"/>
      <c r="AF5" s="2"/>
      <c r="AH5" s="2"/>
      <c r="AI5" s="2"/>
      <c r="AJ5" s="2"/>
    </row>
    <row r="6" spans="1:36" ht="33" customHeight="1" thickBot="1" x14ac:dyDescent="0.35">
      <c r="A6" s="165"/>
      <c r="B6" s="165"/>
      <c r="C6" s="165"/>
      <c r="D6" s="165"/>
      <c r="E6" s="165"/>
      <c r="F6" s="165"/>
      <c r="G6" s="165"/>
      <c r="H6" s="165"/>
      <c r="I6" s="165"/>
      <c r="J6" s="165"/>
      <c r="K6" s="165"/>
      <c r="L6" s="165"/>
      <c r="W6" s="2"/>
      <c r="X6" s="2"/>
      <c r="Y6" s="2"/>
      <c r="Z6" s="2"/>
      <c r="AA6" s="2"/>
      <c r="AC6" s="2"/>
      <c r="AD6" s="2"/>
      <c r="AE6" s="2"/>
      <c r="AF6" s="2"/>
      <c r="AH6" s="2"/>
      <c r="AI6" s="2"/>
      <c r="AJ6" s="2"/>
    </row>
    <row r="7" spans="1:36" ht="30" customHeight="1" thickBot="1" x14ac:dyDescent="0.35">
      <c r="A7" s="290" t="s">
        <v>35</v>
      </c>
      <c r="B7" s="318"/>
      <c r="C7" s="318"/>
      <c r="D7" s="318"/>
      <c r="E7" s="318"/>
      <c r="F7" s="318"/>
      <c r="G7" s="318"/>
      <c r="H7" s="318"/>
      <c r="I7" s="318"/>
      <c r="J7" s="318"/>
      <c r="K7" s="318"/>
      <c r="L7" s="319"/>
    </row>
    <row r="8" spans="1:36" ht="30" customHeight="1" thickBot="1" x14ac:dyDescent="0.35">
      <c r="B8" s="6"/>
      <c r="C8" s="6"/>
      <c r="D8" s="6"/>
      <c r="E8" s="6"/>
      <c r="F8" s="6"/>
      <c r="G8" s="6"/>
    </row>
    <row r="9" spans="1:36" ht="30" customHeight="1" thickBot="1" x14ac:dyDescent="0.35">
      <c r="A9" s="290" t="s">
        <v>36</v>
      </c>
      <c r="B9" s="318"/>
      <c r="C9" s="318"/>
      <c r="D9" s="318"/>
      <c r="E9" s="318"/>
      <c r="F9" s="318"/>
      <c r="G9" s="318"/>
      <c r="H9" s="318"/>
      <c r="I9" s="318"/>
      <c r="J9" s="318"/>
      <c r="K9" s="318"/>
      <c r="L9" s="319"/>
    </row>
    <row r="10" spans="1:36" ht="30" customHeight="1" thickBot="1" x14ac:dyDescent="0.35">
      <c r="A10" s="183"/>
      <c r="B10" s="184"/>
      <c r="C10" s="184"/>
      <c r="D10" s="184"/>
      <c r="E10" s="184"/>
      <c r="F10" s="184"/>
      <c r="G10" s="184"/>
      <c r="H10" s="184"/>
      <c r="I10" s="184"/>
      <c r="J10" s="184"/>
      <c r="K10" s="184"/>
      <c r="L10" s="184"/>
    </row>
    <row r="11" spans="1:36" ht="30" customHeight="1" thickBot="1" x14ac:dyDescent="0.35">
      <c r="A11" s="290" t="s">
        <v>37</v>
      </c>
      <c r="B11" s="318"/>
      <c r="C11" s="318"/>
      <c r="D11" s="318"/>
      <c r="E11" s="318"/>
      <c r="F11" s="318"/>
      <c r="G11" s="318"/>
      <c r="H11" s="318"/>
      <c r="I11" s="318"/>
      <c r="J11" s="318"/>
      <c r="K11" s="318"/>
      <c r="L11" s="319"/>
    </row>
    <row r="12" spans="1:36" ht="30" customHeight="1" thickBot="1" x14ac:dyDescent="0.35">
      <c r="A12" s="183"/>
      <c r="B12" s="184"/>
      <c r="C12" s="184"/>
      <c r="D12" s="184"/>
      <c r="E12" s="184"/>
      <c r="F12" s="184"/>
      <c r="G12" s="184"/>
      <c r="H12" s="184"/>
      <c r="I12" s="184"/>
      <c r="J12" s="184"/>
      <c r="K12" s="184"/>
      <c r="L12" s="184"/>
    </row>
    <row r="13" spans="1:36" ht="30" customHeight="1" thickBot="1" x14ac:dyDescent="0.35">
      <c r="A13" s="290" t="s">
        <v>38</v>
      </c>
      <c r="B13" s="318"/>
      <c r="C13" s="318"/>
      <c r="D13" s="318"/>
      <c r="E13" s="318"/>
      <c r="F13" s="318"/>
      <c r="G13" s="318"/>
      <c r="H13" s="318"/>
      <c r="I13" s="318"/>
      <c r="J13" s="318"/>
      <c r="K13" s="318"/>
      <c r="L13" s="319"/>
    </row>
    <row r="14" spans="1:36" ht="30" customHeight="1" thickBot="1" x14ac:dyDescent="0.35">
      <c r="A14" s="320"/>
      <c r="B14" s="320"/>
      <c r="C14" s="320"/>
      <c r="D14" s="320"/>
      <c r="E14" s="184"/>
      <c r="F14" s="184"/>
      <c r="G14" s="184"/>
      <c r="H14" s="184"/>
      <c r="I14" s="184"/>
      <c r="J14" s="184"/>
      <c r="K14" s="184"/>
      <c r="L14" s="184"/>
    </row>
    <row r="15" spans="1:36" ht="30" customHeight="1" thickBot="1" x14ac:dyDescent="0.35">
      <c r="A15" s="290" t="s">
        <v>39</v>
      </c>
      <c r="B15" s="318"/>
      <c r="C15" s="318"/>
      <c r="D15" s="318"/>
      <c r="E15" s="318"/>
      <c r="F15" s="318"/>
      <c r="G15" s="318"/>
      <c r="H15" s="318"/>
      <c r="I15" s="318"/>
      <c r="J15" s="318"/>
      <c r="K15" s="318"/>
      <c r="L15" s="319"/>
    </row>
    <row r="16" spans="1:36" ht="30" customHeight="1" thickBot="1" x14ac:dyDescent="0.35">
      <c r="A16" s="183"/>
      <c r="B16" s="184"/>
      <c r="C16" s="184"/>
      <c r="D16" s="184"/>
      <c r="E16" s="184"/>
      <c r="F16" s="184"/>
      <c r="G16" s="184"/>
      <c r="H16" s="184"/>
      <c r="I16" s="184"/>
      <c r="J16" s="184"/>
      <c r="K16" s="184"/>
      <c r="L16" s="184"/>
    </row>
    <row r="17" spans="1:36" ht="30" customHeight="1" thickBot="1" x14ac:dyDescent="0.35">
      <c r="A17" s="290" t="s">
        <v>40</v>
      </c>
      <c r="B17" s="318"/>
      <c r="C17" s="318"/>
      <c r="D17" s="318"/>
      <c r="E17" s="318"/>
      <c r="F17" s="318"/>
      <c r="G17" s="318"/>
      <c r="H17" s="318"/>
      <c r="I17" s="318"/>
      <c r="J17" s="318"/>
      <c r="K17" s="318"/>
      <c r="L17" s="319"/>
    </row>
    <row r="18" spans="1:36" s="178" customFormat="1" ht="33" customHeight="1" thickBot="1" x14ac:dyDescent="0.3">
      <c r="A18" s="10" t="s">
        <v>41</v>
      </c>
      <c r="B18" s="162" t="s">
        <v>8</v>
      </c>
      <c r="C18" s="162" t="s">
        <v>42</v>
      </c>
      <c r="D18" s="162" t="s">
        <v>43</v>
      </c>
      <c r="E18" s="311" t="s">
        <v>44</v>
      </c>
      <c r="F18" s="312"/>
      <c r="G18" s="312"/>
      <c r="H18" s="313"/>
      <c r="I18" s="162" t="s">
        <v>11</v>
      </c>
      <c r="J18" s="162" t="s">
        <v>45</v>
      </c>
      <c r="K18" s="311" t="s">
        <v>46</v>
      </c>
      <c r="L18" s="314"/>
      <c r="M18" s="95"/>
      <c r="N18" s="95"/>
      <c r="O18" s="95"/>
      <c r="P18" s="95"/>
      <c r="Q18" s="95"/>
      <c r="R18" s="95"/>
      <c r="S18" s="95"/>
      <c r="T18" s="95"/>
      <c r="U18" s="95"/>
      <c r="Z18" s="95"/>
      <c r="AH18" s="95"/>
      <c r="AI18" s="95"/>
      <c r="AJ18" s="95"/>
    </row>
    <row r="19" spans="1:36" ht="66" customHeight="1" thickBot="1" x14ac:dyDescent="0.35">
      <c r="A19" s="11">
        <v>1</v>
      </c>
      <c r="B19" s="40" t="s">
        <v>47</v>
      </c>
      <c r="C19" s="40" t="s">
        <v>48</v>
      </c>
      <c r="D19" s="40" t="str">
        <f>C19 &amp; "  " &amp; B19</f>
        <v>OEM  Project Manager (Item)</v>
      </c>
      <c r="E19" s="315"/>
      <c r="F19" s="315"/>
      <c r="G19" s="315"/>
      <c r="H19" s="316"/>
      <c r="I19" s="163"/>
      <c r="J19" s="164"/>
      <c r="K19" s="315" t="s">
        <v>49</v>
      </c>
      <c r="L19" s="317"/>
    </row>
    <row r="20" spans="1:36" ht="69" customHeight="1" thickBot="1" x14ac:dyDescent="0.35">
      <c r="A20" s="12">
        <f>A19+1</f>
        <v>2</v>
      </c>
      <c r="B20" s="41" t="s">
        <v>50</v>
      </c>
      <c r="C20" s="41" t="s">
        <v>48</v>
      </c>
      <c r="D20" s="40" t="str">
        <f>C20 &amp; "  " &amp; B20</f>
        <v>OEM  Safety Manager (Item)</v>
      </c>
      <c r="E20" s="305"/>
      <c r="F20" s="305"/>
      <c r="G20" s="305"/>
      <c r="H20" s="307"/>
      <c r="I20" s="166"/>
      <c r="J20" s="167"/>
      <c r="K20" s="305" t="s">
        <v>49</v>
      </c>
      <c r="L20" s="306"/>
    </row>
    <row r="21" spans="1:36" ht="69" customHeight="1" thickBot="1" x14ac:dyDescent="0.35">
      <c r="A21" s="12">
        <f>A20+1</f>
        <v>3</v>
      </c>
      <c r="B21" s="41" t="s">
        <v>51</v>
      </c>
      <c r="C21" s="41" t="s">
        <v>52</v>
      </c>
      <c r="D21" s="40" t="str">
        <f t="shared" ref="D21:D32" si="0">C21 &amp; "  " &amp; B21</f>
        <v>OEM  Project Director</v>
      </c>
      <c r="E21" s="302"/>
      <c r="F21" s="303"/>
      <c r="G21" s="303"/>
      <c r="H21" s="304"/>
      <c r="I21" s="166"/>
      <c r="J21" s="167"/>
      <c r="K21" s="309" t="s">
        <v>49</v>
      </c>
      <c r="L21" s="310"/>
    </row>
    <row r="22" spans="1:36" ht="69" customHeight="1" thickBot="1" x14ac:dyDescent="0.35">
      <c r="A22" s="12">
        <f t="shared" ref="A22:A32" si="1">A21+1</f>
        <v>4</v>
      </c>
      <c r="B22" s="41" t="s">
        <v>53</v>
      </c>
      <c r="C22" s="41" t="s">
        <v>54</v>
      </c>
      <c r="D22" s="40" t="str">
        <f t="shared" si="0"/>
        <v>Tier 1 Supplier  Project Manager (ECU)</v>
      </c>
      <c r="E22" s="305"/>
      <c r="F22" s="305"/>
      <c r="G22" s="305"/>
      <c r="H22" s="307"/>
      <c r="I22" s="166"/>
      <c r="J22" s="167"/>
      <c r="K22" s="305" t="s">
        <v>49</v>
      </c>
      <c r="L22" s="306"/>
    </row>
    <row r="23" spans="1:36" ht="65.25" customHeight="1" thickBot="1" x14ac:dyDescent="0.35">
      <c r="A23" s="12">
        <f t="shared" si="1"/>
        <v>5</v>
      </c>
      <c r="B23" s="41" t="s">
        <v>55</v>
      </c>
      <c r="C23" s="41" t="s">
        <v>54</v>
      </c>
      <c r="D23" s="40" t="str">
        <f t="shared" si="0"/>
        <v>Tier 1 Supplier  Safety Manager (ECU)</v>
      </c>
      <c r="E23" s="305"/>
      <c r="F23" s="305"/>
      <c r="G23" s="305"/>
      <c r="H23" s="307"/>
      <c r="I23" s="166"/>
      <c r="J23" s="167"/>
      <c r="K23" s="305" t="s">
        <v>49</v>
      </c>
      <c r="L23" s="306"/>
    </row>
    <row r="24" spans="1:36" ht="65.25" customHeight="1" thickBot="1" x14ac:dyDescent="0.35">
      <c r="A24" s="12">
        <f t="shared" si="1"/>
        <v>6</v>
      </c>
      <c r="B24" s="41" t="s">
        <v>56</v>
      </c>
      <c r="C24" s="41" t="s">
        <v>54</v>
      </c>
      <c r="D24" s="40" t="str">
        <f t="shared" si="0"/>
        <v>Tier 1 Supplier  Quality Manager (ECU)</v>
      </c>
      <c r="E24" s="305"/>
      <c r="F24" s="305"/>
      <c r="G24" s="305"/>
      <c r="H24" s="307"/>
      <c r="I24" s="166"/>
      <c r="J24" s="167"/>
      <c r="K24" s="305" t="s">
        <v>57</v>
      </c>
      <c r="L24" s="306"/>
    </row>
    <row r="25" spans="1:36" ht="46.5" customHeight="1" thickBot="1" x14ac:dyDescent="0.35">
      <c r="A25" s="12">
        <f t="shared" si="1"/>
        <v>7</v>
      </c>
      <c r="B25" s="41" t="s">
        <v>58</v>
      </c>
      <c r="C25" s="41" t="s">
        <v>54</v>
      </c>
      <c r="D25" s="40" t="str">
        <f t="shared" si="0"/>
        <v>Tier 1 Supplier  R&amp;D Manager  (ECU)</v>
      </c>
      <c r="E25" s="305"/>
      <c r="F25" s="305"/>
      <c r="G25" s="305"/>
      <c r="H25" s="307"/>
      <c r="I25" s="166"/>
      <c r="J25" s="168"/>
      <c r="K25" s="305" t="s">
        <v>57</v>
      </c>
      <c r="L25" s="306"/>
    </row>
    <row r="26" spans="1:36" ht="50.25" customHeight="1" thickBot="1" x14ac:dyDescent="0.35">
      <c r="A26" s="12">
        <f t="shared" si="1"/>
        <v>8</v>
      </c>
      <c r="B26" s="41" t="s">
        <v>59</v>
      </c>
      <c r="C26" s="41" t="s">
        <v>54</v>
      </c>
      <c r="D26" s="40" t="str">
        <f t="shared" si="0"/>
        <v>Tier 1 Supplier  Safety Expert (ECU)
(System)</v>
      </c>
      <c r="E26" s="305"/>
      <c r="F26" s="305"/>
      <c r="G26" s="305"/>
      <c r="H26" s="307"/>
      <c r="I26" s="166"/>
      <c r="J26" s="168"/>
      <c r="K26" s="305" t="s">
        <v>57</v>
      </c>
      <c r="L26" s="306"/>
    </row>
    <row r="27" spans="1:36" ht="60" customHeight="1" thickBot="1" x14ac:dyDescent="0.35">
      <c r="A27" s="12">
        <f t="shared" si="1"/>
        <v>9</v>
      </c>
      <c r="B27" s="41" t="s">
        <v>60</v>
      </c>
      <c r="C27" s="41" t="s">
        <v>54</v>
      </c>
      <c r="D27" s="40" t="str">
        <f t="shared" si="0"/>
        <v>Tier 1 Supplier  Safety Expert (ECU)
(HW + HW-Test)</v>
      </c>
      <c r="E27" s="305"/>
      <c r="F27" s="305"/>
      <c r="G27" s="305"/>
      <c r="H27" s="307"/>
      <c r="I27" s="166"/>
      <c r="J27" s="166"/>
      <c r="K27" s="305" t="s">
        <v>57</v>
      </c>
      <c r="L27" s="306"/>
    </row>
    <row r="28" spans="1:36" ht="80.5" customHeight="1" thickBot="1" x14ac:dyDescent="0.35">
      <c r="A28" s="12">
        <f t="shared" si="1"/>
        <v>10</v>
      </c>
      <c r="B28" s="41" t="s">
        <v>61</v>
      </c>
      <c r="C28" s="41" t="s">
        <v>54</v>
      </c>
      <c r="D28" s="40" t="str">
        <f t="shared" si="0"/>
        <v>Tier 1 Supplier  Safety Expert (ECU)
(SW + SW-Test, Tool-Qualification)</v>
      </c>
      <c r="E28" s="305"/>
      <c r="F28" s="305"/>
      <c r="G28" s="305"/>
      <c r="H28" s="307"/>
      <c r="I28" s="166"/>
      <c r="J28" s="166"/>
      <c r="K28" s="305" t="s">
        <v>57</v>
      </c>
      <c r="L28" s="306"/>
    </row>
    <row r="29" spans="1:36" ht="71.5" customHeight="1" thickBot="1" x14ac:dyDescent="0.35">
      <c r="A29" s="12">
        <f t="shared" si="1"/>
        <v>11</v>
      </c>
      <c r="B29" s="41" t="s">
        <v>62</v>
      </c>
      <c r="C29" s="41" t="s">
        <v>54</v>
      </c>
      <c r="D29" s="40" t="str">
        <f t="shared" si="0"/>
        <v>Tier 1 Supplier  Safety Expert (ECU)
(Safety Analyses, HW-Metrics)</v>
      </c>
      <c r="E29" s="305"/>
      <c r="F29" s="305"/>
      <c r="G29" s="305"/>
      <c r="H29" s="307"/>
      <c r="I29" s="166"/>
      <c r="J29" s="166"/>
      <c r="K29" s="305" t="s">
        <v>63</v>
      </c>
      <c r="L29" s="306"/>
    </row>
    <row r="30" spans="1:36" ht="60" customHeight="1" thickBot="1" x14ac:dyDescent="0.35">
      <c r="A30" s="12">
        <f t="shared" si="1"/>
        <v>12</v>
      </c>
      <c r="B30" s="41" t="s">
        <v>64</v>
      </c>
      <c r="C30" s="41"/>
      <c r="D30" s="40" t="str">
        <f t="shared" si="0"/>
        <v xml:space="preserve">  Configuration Manager</v>
      </c>
      <c r="E30" s="302"/>
      <c r="F30" s="303"/>
      <c r="G30" s="303"/>
      <c r="H30" s="304"/>
      <c r="I30" s="166"/>
      <c r="J30" s="166"/>
      <c r="K30" s="305" t="s">
        <v>63</v>
      </c>
      <c r="L30" s="306"/>
    </row>
    <row r="31" spans="1:36" ht="60" customHeight="1" thickBot="1" x14ac:dyDescent="0.35">
      <c r="A31" s="12">
        <f t="shared" si="1"/>
        <v>13</v>
      </c>
      <c r="B31" s="41" t="s">
        <v>51</v>
      </c>
      <c r="C31" s="41"/>
      <c r="D31" s="40" t="str">
        <f t="shared" si="0"/>
        <v xml:space="preserve">  Project Director</v>
      </c>
      <c r="E31" s="302"/>
      <c r="F31" s="303"/>
      <c r="G31" s="303"/>
      <c r="H31" s="304"/>
      <c r="I31" s="166"/>
      <c r="J31" s="166"/>
      <c r="K31" s="305" t="s">
        <v>63</v>
      </c>
      <c r="L31" s="306"/>
    </row>
    <row r="32" spans="1:36" ht="60" customHeight="1" x14ac:dyDescent="0.3">
      <c r="A32" s="12">
        <f t="shared" si="1"/>
        <v>14</v>
      </c>
      <c r="B32" s="41" t="s">
        <v>65</v>
      </c>
      <c r="C32" s="41"/>
      <c r="D32" s="40" t="str">
        <f t="shared" si="0"/>
        <v xml:space="preserve">  Safety Assessor (ECU)</v>
      </c>
      <c r="E32" s="305"/>
      <c r="F32" s="305"/>
      <c r="G32" s="305"/>
      <c r="H32" s="307"/>
      <c r="I32" s="166"/>
      <c r="J32" s="166"/>
      <c r="K32" s="305" t="s">
        <v>57</v>
      </c>
      <c r="L32" s="306"/>
    </row>
    <row r="33" spans="1:36" ht="30" customHeight="1" thickBot="1" x14ac:dyDescent="0.35">
      <c r="B33" s="6"/>
      <c r="C33" s="6"/>
      <c r="D33" s="6"/>
      <c r="E33" s="6"/>
      <c r="F33" s="6"/>
      <c r="G33" s="6"/>
      <c r="W33" s="2"/>
      <c r="X33" s="2"/>
      <c r="Y33" s="2"/>
      <c r="Z33" s="2"/>
      <c r="AA33" s="2"/>
      <c r="AC33" s="2"/>
      <c r="AD33" s="2"/>
      <c r="AE33" s="2"/>
      <c r="AF33" s="2"/>
      <c r="AH33" s="2"/>
      <c r="AI33" s="2"/>
      <c r="AJ33" s="2"/>
    </row>
    <row r="34" spans="1:36" ht="30" customHeight="1" thickBot="1" x14ac:dyDescent="0.35">
      <c r="A34" s="290" t="s">
        <v>66</v>
      </c>
      <c r="B34" s="291"/>
      <c r="C34" s="291"/>
      <c r="D34" s="291"/>
      <c r="E34" s="291"/>
      <c r="F34" s="291"/>
      <c r="G34" s="291"/>
      <c r="H34" s="291"/>
      <c r="I34" s="291"/>
      <c r="J34" s="296"/>
      <c r="K34" s="173"/>
      <c r="L34" s="173"/>
    </row>
    <row r="35" spans="1:36" s="46" customFormat="1" ht="33" customHeight="1" thickBot="1" x14ac:dyDescent="0.3">
      <c r="A35" s="45" t="s">
        <v>41</v>
      </c>
      <c r="B35" s="172" t="s">
        <v>67</v>
      </c>
      <c r="C35" s="285" t="s">
        <v>68</v>
      </c>
      <c r="D35" s="286"/>
      <c r="E35" s="286"/>
      <c r="F35" s="289"/>
      <c r="G35" s="285" t="s">
        <v>69</v>
      </c>
      <c r="H35" s="293"/>
      <c r="I35" s="285" t="s">
        <v>1</v>
      </c>
      <c r="J35" s="295"/>
      <c r="K35" s="294"/>
      <c r="L35" s="271"/>
      <c r="M35" s="17"/>
      <c r="N35" s="17"/>
      <c r="O35" s="17"/>
      <c r="P35" s="17"/>
      <c r="Q35" s="17"/>
      <c r="R35" s="17"/>
      <c r="S35" s="17"/>
      <c r="T35" s="17"/>
      <c r="U35" s="17"/>
      <c r="Z35" s="4"/>
      <c r="AH35" s="4"/>
      <c r="AI35" s="4"/>
      <c r="AJ35" s="4"/>
    </row>
    <row r="36" spans="1:36" ht="30" customHeight="1" x14ac:dyDescent="0.3">
      <c r="A36" s="11">
        <v>1</v>
      </c>
      <c r="B36" s="42"/>
      <c r="C36" s="297"/>
      <c r="D36" s="298"/>
      <c r="E36" s="298"/>
      <c r="F36" s="299"/>
      <c r="G36" s="300"/>
      <c r="H36" s="301"/>
      <c r="I36" s="170"/>
      <c r="J36" s="174"/>
      <c r="K36" s="278"/>
      <c r="L36" s="279"/>
    </row>
    <row r="37" spans="1:36" ht="30" customHeight="1" x14ac:dyDescent="0.3">
      <c r="A37" s="13">
        <v>2</v>
      </c>
      <c r="B37" s="43"/>
      <c r="C37" s="273"/>
      <c r="D37" s="274"/>
      <c r="E37" s="274"/>
      <c r="F37" s="275"/>
      <c r="G37" s="276"/>
      <c r="H37" s="277"/>
      <c r="I37" s="169"/>
      <c r="J37" s="171"/>
      <c r="K37" s="278"/>
      <c r="L37" s="279"/>
    </row>
    <row r="38" spans="1:36" ht="30" customHeight="1" x14ac:dyDescent="0.3">
      <c r="A38" s="13">
        <v>3</v>
      </c>
      <c r="B38" s="43"/>
      <c r="C38" s="273"/>
      <c r="D38" s="274"/>
      <c r="E38" s="274"/>
      <c r="F38" s="275"/>
      <c r="G38" s="276"/>
      <c r="H38" s="277"/>
      <c r="I38" s="169"/>
      <c r="J38" s="171"/>
      <c r="K38" s="278"/>
      <c r="L38" s="279"/>
    </row>
    <row r="39" spans="1:36" ht="30" customHeight="1" thickBot="1" x14ac:dyDescent="0.35">
      <c r="A39" s="14">
        <v>4</v>
      </c>
      <c r="B39" s="175"/>
      <c r="C39" s="280"/>
      <c r="D39" s="281"/>
      <c r="E39" s="281"/>
      <c r="F39" s="282"/>
      <c r="G39" s="283"/>
      <c r="H39" s="284"/>
      <c r="I39" s="176"/>
      <c r="J39" s="177"/>
      <c r="K39" s="278"/>
      <c r="L39" s="279"/>
    </row>
    <row r="40" spans="1:36" ht="31.5" customHeight="1" thickBot="1" x14ac:dyDescent="0.35">
      <c r="A40" s="268"/>
      <c r="B40" s="268"/>
      <c r="C40" s="268"/>
      <c r="D40" s="268"/>
      <c r="E40" s="268"/>
      <c r="F40" s="268"/>
      <c r="G40" s="268"/>
      <c r="H40" s="268"/>
      <c r="I40" s="268"/>
      <c r="J40" s="268"/>
      <c r="K40" s="269"/>
      <c r="L40" s="269"/>
    </row>
    <row r="41" spans="1:36" ht="30" customHeight="1" thickBot="1" x14ac:dyDescent="0.35">
      <c r="A41" s="290" t="s">
        <v>70</v>
      </c>
      <c r="B41" s="291"/>
      <c r="C41" s="291"/>
      <c r="D41" s="291"/>
      <c r="E41" s="291"/>
      <c r="F41" s="291"/>
      <c r="G41" s="291"/>
      <c r="H41" s="291"/>
      <c r="I41" s="291"/>
      <c r="J41" s="291"/>
      <c r="K41" s="180"/>
      <c r="L41" s="179"/>
    </row>
    <row r="42" spans="1:36" ht="33" customHeight="1" thickBot="1" x14ac:dyDescent="0.35">
      <c r="A42" s="45" t="s">
        <v>41</v>
      </c>
      <c r="B42" s="172" t="s">
        <v>67</v>
      </c>
      <c r="C42" s="285" t="s">
        <v>68</v>
      </c>
      <c r="D42" s="286"/>
      <c r="E42" s="286"/>
      <c r="F42" s="286"/>
      <c r="G42" s="285" t="s">
        <v>2</v>
      </c>
      <c r="H42" s="289"/>
      <c r="I42" s="285" t="s">
        <v>1</v>
      </c>
      <c r="J42" s="286"/>
      <c r="K42" s="270"/>
      <c r="L42" s="271"/>
    </row>
    <row r="43" spans="1:36" ht="30" customHeight="1" x14ac:dyDescent="0.3">
      <c r="A43" s="11">
        <v>1</v>
      </c>
      <c r="B43" s="42"/>
      <c r="C43" s="287"/>
      <c r="D43" s="288"/>
      <c r="E43" s="288"/>
      <c r="F43" s="288"/>
      <c r="G43" s="287"/>
      <c r="H43" s="292"/>
      <c r="I43" s="287"/>
      <c r="J43" s="288"/>
      <c r="K43" s="272"/>
      <c r="L43" s="267"/>
    </row>
    <row r="44" spans="1:36" ht="30" customHeight="1" x14ac:dyDescent="0.3">
      <c r="A44" s="13">
        <v>2</v>
      </c>
      <c r="B44" s="43"/>
      <c r="C44" s="263"/>
      <c r="D44" s="264"/>
      <c r="E44" s="264"/>
      <c r="F44" s="264"/>
      <c r="G44" s="263"/>
      <c r="H44" s="265"/>
      <c r="I44" s="263"/>
      <c r="J44" s="264"/>
      <c r="K44" s="266"/>
      <c r="L44" s="267"/>
    </row>
    <row r="45" spans="1:36" ht="30" customHeight="1" x14ac:dyDescent="0.3">
      <c r="A45" s="13">
        <v>3</v>
      </c>
      <c r="B45" s="43"/>
      <c r="C45" s="263"/>
      <c r="D45" s="264"/>
      <c r="E45" s="264"/>
      <c r="F45" s="264"/>
      <c r="G45" s="263"/>
      <c r="H45" s="265"/>
      <c r="I45" s="263"/>
      <c r="J45" s="264"/>
      <c r="K45" s="266"/>
      <c r="L45" s="267"/>
    </row>
    <row r="46" spans="1:36" ht="30" customHeight="1" x14ac:dyDescent="0.3">
      <c r="A46" s="13">
        <v>4</v>
      </c>
      <c r="B46" s="43"/>
      <c r="C46" s="263"/>
      <c r="D46" s="264"/>
      <c r="E46" s="264"/>
      <c r="F46" s="264"/>
      <c r="G46" s="263"/>
      <c r="H46" s="265"/>
      <c r="I46" s="263"/>
      <c r="J46" s="264"/>
      <c r="K46" s="266"/>
      <c r="L46" s="267"/>
    </row>
    <row r="47" spans="1:36" ht="30" customHeight="1" thickBot="1" x14ac:dyDescent="0.35">
      <c r="A47" s="14">
        <v>5</v>
      </c>
      <c r="B47" s="44"/>
      <c r="C47" s="263"/>
      <c r="D47" s="264"/>
      <c r="E47" s="264"/>
      <c r="F47" s="264"/>
      <c r="G47" s="263"/>
      <c r="H47" s="265"/>
      <c r="I47" s="263"/>
      <c r="J47" s="264"/>
      <c r="K47" s="266"/>
      <c r="L47" s="267"/>
    </row>
  </sheetData>
  <sheetProtection formatCells="0" formatColumns="0" formatRows="0" insertColumns="0" insertRows="0" insertHyperlinks="0" deleteColumns="0" deleteRows="0" sort="0" autoFilter="0" pivotTables="0"/>
  <customSheetViews>
    <customSheetView guid="{A881EEAB-4C12-45E2-A786-FAF50DD5927A}" showGridLines="0" fitToPage="1" topLeftCell="A4">
      <selection activeCell="A9" sqref="A9:E9"/>
      <colBreaks count="1" manualBreakCount="1">
        <brk id="3" max="31" man="1"/>
      </colBreaks>
      <pageMargins left="0" right="0" top="0" bottom="0" header="0" footer="0"/>
      <pageSetup paperSize="9" scale="57" fitToHeight="2" orientation="portrait" r:id="rId1"/>
      <headerFooter alignWithMargins="0">
        <oddHeader>&amp;CSheet: &amp;A</oddHeader>
        <oddFooter>&amp;L&amp;F&amp;C&amp;P/&amp;N&amp;R&amp;D</oddFooter>
      </headerFooter>
    </customSheetView>
  </customSheetViews>
  <mergeCells count="84">
    <mergeCell ref="A2:L2"/>
    <mergeCell ref="A11:L11"/>
    <mergeCell ref="A13:L13"/>
    <mergeCell ref="A4:L4"/>
    <mergeCell ref="A5:D5"/>
    <mergeCell ref="K19:L19"/>
    <mergeCell ref="A7:L7"/>
    <mergeCell ref="A9:L9"/>
    <mergeCell ref="A14:D14"/>
    <mergeCell ref="A15:L15"/>
    <mergeCell ref="A17:L17"/>
    <mergeCell ref="A1:L1"/>
    <mergeCell ref="E23:H23"/>
    <mergeCell ref="K23:L23"/>
    <mergeCell ref="E25:H25"/>
    <mergeCell ref="K25:L25"/>
    <mergeCell ref="E20:H20"/>
    <mergeCell ref="K20:L20"/>
    <mergeCell ref="E22:H22"/>
    <mergeCell ref="K22:L22"/>
    <mergeCell ref="E24:H24"/>
    <mergeCell ref="K24:L24"/>
    <mergeCell ref="E21:H21"/>
    <mergeCell ref="K21:L21"/>
    <mergeCell ref="E18:H18"/>
    <mergeCell ref="K18:L18"/>
    <mergeCell ref="E19:H19"/>
    <mergeCell ref="E28:H28"/>
    <mergeCell ref="K28:L28"/>
    <mergeCell ref="E29:H29"/>
    <mergeCell ref="K29:L29"/>
    <mergeCell ref="E26:H26"/>
    <mergeCell ref="K26:L26"/>
    <mergeCell ref="E27:H27"/>
    <mergeCell ref="K27:L27"/>
    <mergeCell ref="E30:H30"/>
    <mergeCell ref="K30:L30"/>
    <mergeCell ref="E31:H31"/>
    <mergeCell ref="K31:L31"/>
    <mergeCell ref="E32:H32"/>
    <mergeCell ref="K32:L32"/>
    <mergeCell ref="C36:F36"/>
    <mergeCell ref="G36:H36"/>
    <mergeCell ref="K36:L36"/>
    <mergeCell ref="C37:F37"/>
    <mergeCell ref="G37:H37"/>
    <mergeCell ref="K37:L37"/>
    <mergeCell ref="C35:F35"/>
    <mergeCell ref="G35:H35"/>
    <mergeCell ref="K35:L35"/>
    <mergeCell ref="I35:J35"/>
    <mergeCell ref="A34:J34"/>
    <mergeCell ref="A40:L40"/>
    <mergeCell ref="K42:L42"/>
    <mergeCell ref="K43:L43"/>
    <mergeCell ref="C38:F38"/>
    <mergeCell ref="G38:H38"/>
    <mergeCell ref="K38:L38"/>
    <mergeCell ref="C39:F39"/>
    <mergeCell ref="G39:H39"/>
    <mergeCell ref="K39:L39"/>
    <mergeCell ref="I42:J42"/>
    <mergeCell ref="I43:J43"/>
    <mergeCell ref="C42:F42"/>
    <mergeCell ref="G42:H42"/>
    <mergeCell ref="A41:J41"/>
    <mergeCell ref="C43:F43"/>
    <mergeCell ref="G43:H43"/>
    <mergeCell ref="K46:L46"/>
    <mergeCell ref="K47:L47"/>
    <mergeCell ref="K44:L44"/>
    <mergeCell ref="K45:L45"/>
    <mergeCell ref="I44:J44"/>
    <mergeCell ref="I45:J45"/>
    <mergeCell ref="I46:J46"/>
    <mergeCell ref="I47:J47"/>
    <mergeCell ref="C44:F44"/>
    <mergeCell ref="C45:F45"/>
    <mergeCell ref="C46:F46"/>
    <mergeCell ref="C47:F47"/>
    <mergeCell ref="G47:H47"/>
    <mergeCell ref="G44:H44"/>
    <mergeCell ref="G45:H45"/>
    <mergeCell ref="G46:H46"/>
  </mergeCells>
  <phoneticPr fontId="28" type="noConversion"/>
  <pageMargins left="0.19685039370078741" right="0.19685039370078741" top="0.51181102362204722" bottom="0.43307086614173229" header="0.39370078740157483" footer="0.31496062992125984"/>
  <pageSetup paperSize="9" scale="57" fitToHeight="2" orientation="portrait" r:id="rId2"/>
  <headerFooter alignWithMargins="0">
    <oddHeader>&amp;CSheet: &amp;A</oddHeader>
    <oddFooter>&amp;L&amp;F&amp;C&amp;P/&amp;N&amp;R&amp;D</oddFooter>
  </headerFooter>
  <colBreaks count="1" manualBreakCount="1">
    <brk id="4" max="31" man="1"/>
  </col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tabColor theme="8" tint="-0.249977111117893"/>
    <pageSetUpPr fitToPage="1"/>
  </sheetPr>
  <dimension ref="A1:L16"/>
  <sheetViews>
    <sheetView zoomScaleNormal="100" workbookViewId="0">
      <selection activeCell="B12" sqref="B12:H12"/>
    </sheetView>
  </sheetViews>
  <sheetFormatPr defaultColWidth="11.453125" defaultRowHeight="12.5" x14ac:dyDescent="0.25"/>
  <cols>
    <col min="1" max="1" width="21.90625" style="1" customWidth="1"/>
    <col min="2" max="4" width="11.453125" style="1"/>
    <col min="5" max="5" width="18.90625" style="1" customWidth="1"/>
    <col min="6" max="6" width="11.453125" style="1"/>
    <col min="7" max="8" width="23" style="1" customWidth="1"/>
    <col min="9" max="16384" width="11.453125" style="1"/>
  </cols>
  <sheetData>
    <row r="1" spans="1:12" ht="68.25" customHeight="1" thickBot="1" x14ac:dyDescent="0.3">
      <c r="A1" s="308" t="str">
        <f>Cover!B1</f>
        <v>Safety Plan</v>
      </c>
      <c r="B1" s="308"/>
      <c r="C1" s="308"/>
      <c r="D1" s="308"/>
      <c r="E1" s="308"/>
      <c r="F1" s="308"/>
      <c r="G1" s="308"/>
      <c r="H1" s="308"/>
      <c r="I1" s="181"/>
      <c r="J1" s="181"/>
      <c r="K1" s="181"/>
      <c r="L1" s="181"/>
    </row>
    <row r="2" spans="1:12" ht="15" customHeight="1" thickBot="1" x14ac:dyDescent="0.3">
      <c r="A2" s="326" t="s">
        <v>71</v>
      </c>
      <c r="B2" s="326"/>
      <c r="C2" s="326"/>
      <c r="D2" s="326"/>
      <c r="E2" s="326"/>
      <c r="F2" s="326"/>
      <c r="G2" s="326"/>
      <c r="H2" s="326"/>
    </row>
    <row r="3" spans="1:12" ht="15" customHeight="1" thickBot="1" x14ac:dyDescent="0.3">
      <c r="A3" s="35" t="s">
        <v>41</v>
      </c>
      <c r="B3" s="321" t="s">
        <v>72</v>
      </c>
      <c r="C3" s="321"/>
      <c r="D3" s="321"/>
      <c r="E3" s="321"/>
      <c r="F3" s="321"/>
      <c r="G3" s="321"/>
      <c r="H3" s="321"/>
    </row>
    <row r="4" spans="1:12" ht="15" customHeight="1" thickBot="1" x14ac:dyDescent="0.3">
      <c r="A4" s="327" t="s">
        <v>73</v>
      </c>
      <c r="B4" s="321" t="s">
        <v>74</v>
      </c>
      <c r="C4" s="321"/>
      <c r="D4" s="321"/>
      <c r="E4" s="321"/>
      <c r="F4" s="321"/>
      <c r="G4" s="321"/>
      <c r="H4" s="321"/>
    </row>
    <row r="5" spans="1:12" ht="15" customHeight="1" thickBot="1" x14ac:dyDescent="0.3">
      <c r="A5" s="327"/>
      <c r="B5" s="321"/>
      <c r="C5" s="321"/>
      <c r="D5" s="321"/>
      <c r="E5" s="321"/>
      <c r="F5" s="321"/>
      <c r="G5" s="321"/>
      <c r="H5" s="321"/>
    </row>
    <row r="6" spans="1:12" ht="15" customHeight="1" thickBot="1" x14ac:dyDescent="0.3">
      <c r="A6" s="35" t="s">
        <v>75</v>
      </c>
      <c r="B6" s="321" t="s">
        <v>76</v>
      </c>
      <c r="C6" s="321"/>
      <c r="D6" s="321"/>
      <c r="E6" s="321"/>
      <c r="F6" s="321"/>
      <c r="G6" s="321"/>
      <c r="H6" s="321"/>
    </row>
    <row r="7" spans="1:12" ht="26.5" customHeight="1" thickBot="1" x14ac:dyDescent="0.3">
      <c r="A7" s="182" t="s">
        <v>77</v>
      </c>
      <c r="B7" s="322" t="s">
        <v>78</v>
      </c>
      <c r="C7" s="322"/>
      <c r="D7" s="322"/>
      <c r="E7" s="322"/>
      <c r="F7" s="322"/>
      <c r="G7" s="322"/>
      <c r="H7" s="322"/>
    </row>
    <row r="8" spans="1:12" ht="31.5" customHeight="1" thickBot="1" x14ac:dyDescent="0.3">
      <c r="A8" s="35" t="s">
        <v>79</v>
      </c>
      <c r="B8" s="325" t="s">
        <v>80</v>
      </c>
      <c r="C8" s="325"/>
      <c r="D8" s="325"/>
      <c r="E8" s="325"/>
      <c r="F8" s="325"/>
      <c r="G8" s="325"/>
      <c r="H8" s="325"/>
    </row>
    <row r="9" spans="1:12" ht="35.25" customHeight="1" thickBot="1" x14ac:dyDescent="0.3">
      <c r="A9" s="35" t="s">
        <v>81</v>
      </c>
      <c r="B9" s="322" t="s">
        <v>82</v>
      </c>
      <c r="C9" s="322"/>
      <c r="D9" s="322"/>
      <c r="E9" s="322"/>
      <c r="F9" s="322"/>
      <c r="G9" s="322"/>
      <c r="H9" s="322"/>
    </row>
    <row r="10" spans="1:12" ht="35.25" customHeight="1" thickBot="1" x14ac:dyDescent="0.3">
      <c r="A10" s="35" t="s">
        <v>83</v>
      </c>
      <c r="B10" s="323" t="s">
        <v>84</v>
      </c>
      <c r="C10" s="323"/>
      <c r="D10" s="323"/>
      <c r="E10" s="323"/>
      <c r="F10" s="323"/>
      <c r="G10" s="323"/>
      <c r="H10" s="323"/>
    </row>
    <row r="11" spans="1:12" ht="43.5" customHeight="1" thickBot="1" x14ac:dyDescent="0.3">
      <c r="A11" s="35" t="s">
        <v>85</v>
      </c>
      <c r="B11" s="324" t="s">
        <v>86</v>
      </c>
      <c r="C11" s="324"/>
      <c r="D11" s="324"/>
      <c r="E11" s="324"/>
      <c r="F11" s="324"/>
      <c r="G11" s="324"/>
      <c r="H11" s="324"/>
    </row>
    <row r="12" spans="1:12" ht="64" customHeight="1" thickBot="1" x14ac:dyDescent="0.3">
      <c r="A12" s="35" t="s">
        <v>87</v>
      </c>
      <c r="B12" s="323" t="s">
        <v>864</v>
      </c>
      <c r="C12" s="323"/>
      <c r="D12" s="323"/>
      <c r="E12" s="323"/>
      <c r="F12" s="323"/>
      <c r="G12" s="323"/>
      <c r="H12" s="323"/>
    </row>
    <row r="13" spans="1:12" ht="45.65" customHeight="1" thickBot="1" x14ac:dyDescent="0.3">
      <c r="A13" s="35" t="s">
        <v>88</v>
      </c>
      <c r="B13" s="323" t="s">
        <v>89</v>
      </c>
      <c r="C13" s="323"/>
      <c r="D13" s="323"/>
      <c r="E13" s="323"/>
      <c r="F13" s="323"/>
      <c r="G13" s="323"/>
      <c r="H13" s="323"/>
    </row>
    <row r="14" spans="1:12" ht="30.75" customHeight="1" thickBot="1" x14ac:dyDescent="0.3">
      <c r="A14" s="35" t="s">
        <v>90</v>
      </c>
      <c r="B14" s="323" t="s">
        <v>91</v>
      </c>
      <c r="C14" s="323"/>
      <c r="D14" s="323"/>
      <c r="E14" s="323"/>
      <c r="F14" s="323"/>
      <c r="G14" s="323"/>
      <c r="H14" s="323"/>
    </row>
    <row r="15" spans="1:12" ht="49.5" customHeight="1" thickBot="1" x14ac:dyDescent="0.3">
      <c r="A15" s="35" t="s">
        <v>92</v>
      </c>
      <c r="B15" s="324" t="s">
        <v>93</v>
      </c>
      <c r="C15" s="324"/>
      <c r="D15" s="324"/>
      <c r="E15" s="324"/>
      <c r="F15" s="324"/>
      <c r="G15" s="324"/>
      <c r="H15" s="324"/>
    </row>
    <row r="16" spans="1:12" ht="37.5" customHeight="1" thickBot="1" x14ac:dyDescent="0.3">
      <c r="A16" s="35" t="s">
        <v>94</v>
      </c>
      <c r="B16" s="323" t="s">
        <v>95</v>
      </c>
      <c r="C16" s="323"/>
      <c r="D16" s="323"/>
      <c r="E16" s="323"/>
      <c r="F16" s="323"/>
      <c r="G16" s="323"/>
      <c r="H16" s="323"/>
    </row>
  </sheetData>
  <customSheetViews>
    <customSheetView guid="{A881EEAB-4C12-45E2-A786-FAF50DD5927A}" fitToPage="1">
      <selection activeCell="A9" sqref="A9:E9"/>
      <pageMargins left="0" right="0" top="0" bottom="0" header="0" footer="0"/>
      <pageSetup paperSize="9" scale="80" orientation="portrait" r:id="rId1"/>
      <headerFooter>
        <oddHeader>&amp;C&amp;12Sheet: &amp;A</oddHeader>
        <oddFooter>&amp;L&amp;F&amp;C&amp;P/&amp;N&amp;R&amp;D</oddFooter>
      </headerFooter>
    </customSheetView>
  </customSheetViews>
  <mergeCells count="16">
    <mergeCell ref="A1:H1"/>
    <mergeCell ref="A2:H2"/>
    <mergeCell ref="B3:H3"/>
    <mergeCell ref="A4:A5"/>
    <mergeCell ref="B4:H5"/>
    <mergeCell ref="B6:H6"/>
    <mergeCell ref="B7:H7"/>
    <mergeCell ref="B14:H14"/>
    <mergeCell ref="B15:H15"/>
    <mergeCell ref="B16:H16"/>
    <mergeCell ref="B8:H8"/>
    <mergeCell ref="B9:H9"/>
    <mergeCell ref="B10:H10"/>
    <mergeCell ref="B11:H11"/>
    <mergeCell ref="B12:H12"/>
    <mergeCell ref="B13:H13"/>
  </mergeCells>
  <phoneticPr fontId="28" type="noConversion"/>
  <pageMargins left="0.70866141732283472" right="0.70866141732283472" top="0.74803149606299213" bottom="0.74803149606299213" header="0.31496062992125984" footer="0.31496062992125984"/>
  <pageSetup paperSize="9" scale="80" orientation="portrait" r:id="rId2"/>
  <headerFooter>
    <oddHeader>&amp;C&amp;12Sheet: &amp;A</oddHeader>
    <oddFooter>&amp;L&amp;F&amp;C&amp;P/&amp;N&amp;R&amp;D</oddFooter>
  </headerFooter>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tabColor theme="8" tint="-0.249977111117893"/>
    <outlinePr summaryBelow="0" summaryRight="0"/>
    <pageSetUpPr fitToPage="1"/>
  </sheetPr>
  <dimension ref="A1:AC435"/>
  <sheetViews>
    <sheetView showZeros="0" tabSelected="1" topLeftCell="A7" zoomScaleNormal="100" workbookViewId="0">
      <pane xSplit="6" ySplit="1" topLeftCell="G8" activePane="bottomRight" state="frozen"/>
      <selection pane="topRight" activeCell="F7" sqref="F7"/>
      <selection pane="bottomLeft" activeCell="A10" sqref="A10"/>
      <selection pane="bottomRight" activeCell="C9" sqref="C9:N9"/>
    </sheetView>
  </sheetViews>
  <sheetFormatPr defaultColWidth="9.08984375" defaultRowHeight="46.5" customHeight="1" outlineLevelCol="1" x14ac:dyDescent="0.25"/>
  <cols>
    <col min="1" max="1" width="7.7265625" style="134" customWidth="1"/>
    <col min="2" max="2" width="15.453125" style="134" customWidth="1"/>
    <col min="3" max="3" width="24.453125" style="134" customWidth="1" collapsed="1"/>
    <col min="4" max="4" width="54.08984375" style="134" hidden="1" customWidth="1" outlineLevel="1"/>
    <col min="5" max="5" width="38.453125" style="134" hidden="1" customWidth="1" outlineLevel="1"/>
    <col min="6" max="6" width="29.90625" style="134" hidden="1" customWidth="1" outlineLevel="1"/>
    <col min="7" max="7" width="14.453125" style="32" customWidth="1"/>
    <col min="8" max="8" width="38.90625" style="31" customWidth="1" collapsed="1"/>
    <col min="9" max="9" width="32.453125" style="134" hidden="1" customWidth="1" outlineLevel="1"/>
    <col min="10" max="10" width="15.26953125" style="134" hidden="1" customWidth="1" outlineLevel="1"/>
    <col min="11" max="12" width="30.453125" style="1" customWidth="1"/>
    <col min="13" max="13" width="12.90625" style="1" customWidth="1" outlineLevel="1"/>
    <col min="14" max="14" width="13.08984375" style="1" customWidth="1" outlineLevel="1"/>
    <col min="15" max="15" width="20.08984375" style="91" customWidth="1"/>
    <col min="16" max="18" width="14.453125" style="91" customWidth="1"/>
    <col min="19" max="19" width="17.6328125" style="91" customWidth="1"/>
    <col min="20" max="20" width="18.90625" style="91" customWidth="1"/>
    <col min="21" max="21" width="19.90625" style="91" customWidth="1"/>
    <col min="22" max="22" width="19" style="91" customWidth="1"/>
    <col min="23" max="23" width="14.453125" style="91" customWidth="1"/>
    <col min="24" max="25" width="14.7265625" style="77" customWidth="1"/>
    <col min="26" max="27" width="13.08984375" style="77" customWidth="1"/>
    <col min="28" max="28" width="17.26953125" style="1" customWidth="1"/>
    <col min="29" max="29" width="16" style="1" customWidth="1"/>
    <col min="30" max="16384" width="9.08984375" style="1"/>
  </cols>
  <sheetData>
    <row r="1" spans="1:29" ht="46.5" customHeight="1" x14ac:dyDescent="0.3">
      <c r="A1" s="99" t="str">
        <f>[2]Cover!B3</f>
        <v>Safety Plan</v>
      </c>
      <c r="B1" s="99"/>
      <c r="C1" s="99"/>
      <c r="D1" s="99"/>
      <c r="E1" s="99"/>
      <c r="F1" s="99"/>
      <c r="G1" s="99"/>
      <c r="H1" s="99"/>
      <c r="I1" s="99"/>
      <c r="J1" s="99"/>
      <c r="K1" s="57"/>
      <c r="L1" s="57"/>
      <c r="M1" s="57"/>
      <c r="N1" s="57"/>
      <c r="O1" s="78"/>
      <c r="P1" s="78"/>
      <c r="Q1" s="78"/>
      <c r="R1" s="78"/>
      <c r="S1" s="78"/>
      <c r="T1" s="78"/>
      <c r="U1" s="78"/>
      <c r="V1" s="78"/>
      <c r="W1" s="78"/>
      <c r="X1" s="64"/>
      <c r="Y1" s="64"/>
      <c r="Z1" s="64"/>
      <c r="AA1" s="64"/>
      <c r="AB1" s="57"/>
      <c r="AC1" s="2"/>
    </row>
    <row r="2" spans="1:29" ht="46.5" customHeight="1" x14ac:dyDescent="0.25">
      <c r="A2" s="100"/>
      <c r="B2" s="100"/>
      <c r="C2" s="100"/>
      <c r="D2" s="100"/>
      <c r="E2" s="100"/>
      <c r="F2" s="101" t="str">
        <f>[2]Cover!$B$7</f>
        <v>Project: ECU</v>
      </c>
      <c r="I2" s="102"/>
      <c r="J2" s="100"/>
      <c r="K2" s="17"/>
      <c r="L2" s="17"/>
      <c r="M2" s="17"/>
      <c r="N2" s="17"/>
      <c r="O2" s="79"/>
      <c r="P2" s="79"/>
      <c r="Q2" s="79"/>
      <c r="R2" s="79"/>
      <c r="S2" s="79"/>
      <c r="T2" s="79"/>
      <c r="U2" s="79"/>
      <c r="V2" s="79"/>
      <c r="W2" s="79"/>
      <c r="X2" s="65"/>
      <c r="Y2" s="65"/>
      <c r="Z2" s="65"/>
      <c r="AA2" s="65"/>
      <c r="AB2" s="17"/>
      <c r="AC2" s="17"/>
    </row>
    <row r="3" spans="1:29" ht="14" x14ac:dyDescent="0.3">
      <c r="A3" s="103"/>
      <c r="B3" s="103"/>
      <c r="C3" s="104"/>
      <c r="D3" s="105"/>
      <c r="E3" s="105"/>
      <c r="F3" s="105"/>
      <c r="I3" s="106"/>
      <c r="J3" s="107"/>
      <c r="K3" s="18"/>
      <c r="L3" s="18"/>
      <c r="M3" s="7"/>
      <c r="N3" s="5"/>
      <c r="O3" s="80"/>
      <c r="P3" s="80"/>
      <c r="Q3" s="80"/>
      <c r="R3" s="80"/>
      <c r="S3" s="80"/>
      <c r="T3" s="80"/>
      <c r="U3" s="80"/>
      <c r="V3" s="80"/>
      <c r="W3" s="80"/>
      <c r="X3" s="72"/>
      <c r="Y3" s="72"/>
      <c r="Z3" s="72"/>
      <c r="AA3" s="72"/>
      <c r="AB3" s="47" t="e">
        <f>#REF!</f>
        <v>#REF!</v>
      </c>
      <c r="AC3" s="48"/>
    </row>
    <row r="4" spans="1:29" ht="14" x14ac:dyDescent="0.3">
      <c r="A4" s="103"/>
      <c r="B4" s="103"/>
      <c r="C4" s="104"/>
      <c r="D4" s="105"/>
      <c r="E4" s="105"/>
      <c r="F4" s="105"/>
      <c r="I4" s="107"/>
      <c r="J4" s="107"/>
      <c r="K4" s="2"/>
      <c r="L4" s="2"/>
      <c r="M4" s="7"/>
      <c r="N4" s="5"/>
      <c r="O4" s="80"/>
      <c r="P4" s="80"/>
      <c r="Q4" s="80"/>
      <c r="R4" s="80"/>
      <c r="S4" s="80"/>
      <c r="T4" s="80"/>
      <c r="U4" s="80"/>
      <c r="V4" s="80"/>
      <c r="W4" s="80"/>
      <c r="X4" s="72"/>
      <c r="Y4" s="72"/>
      <c r="Z4" s="72"/>
      <c r="AA4" s="72"/>
      <c r="AB4" s="49" t="e">
        <f>#REF!</f>
        <v>#REF!</v>
      </c>
      <c r="AC4" s="33" t="e">
        <f>#REF!</f>
        <v>#REF!</v>
      </c>
    </row>
    <row r="5" spans="1:29" ht="14" x14ac:dyDescent="0.3">
      <c r="A5" s="103"/>
      <c r="B5" s="103"/>
      <c r="C5" s="104"/>
      <c r="D5" s="105"/>
      <c r="E5" s="105"/>
      <c r="F5" s="105"/>
      <c r="I5" s="107"/>
      <c r="J5" s="107"/>
      <c r="K5" s="2"/>
      <c r="L5" s="2"/>
      <c r="M5" s="7"/>
      <c r="N5" s="5"/>
      <c r="O5" s="80"/>
      <c r="P5" s="80"/>
      <c r="Q5" s="80"/>
      <c r="R5" s="80"/>
      <c r="S5" s="80"/>
      <c r="T5" s="80"/>
      <c r="U5" s="80"/>
      <c r="V5" s="80"/>
      <c r="W5" s="80"/>
      <c r="X5" s="72"/>
      <c r="Y5" s="72"/>
      <c r="Z5" s="72"/>
      <c r="AA5" s="72"/>
      <c r="AB5" s="47" t="e">
        <f>'1_Role and Responsibilities'!#REF!</f>
        <v>#REF!</v>
      </c>
      <c r="AC5" s="48"/>
    </row>
    <row r="6" spans="1:29" ht="14.5" thickBot="1" x14ac:dyDescent="0.35">
      <c r="A6" s="103"/>
      <c r="B6" s="103"/>
      <c r="C6" s="104"/>
      <c r="D6" s="105"/>
      <c r="E6" s="105"/>
      <c r="F6" s="105"/>
      <c r="I6" s="107"/>
      <c r="J6" s="108"/>
      <c r="K6" s="2"/>
      <c r="L6" s="2"/>
      <c r="M6" s="2"/>
      <c r="N6" s="5"/>
      <c r="O6" s="80"/>
      <c r="P6" s="80"/>
      <c r="Q6" s="80"/>
      <c r="R6" s="80"/>
      <c r="S6" s="80"/>
      <c r="T6" s="80"/>
      <c r="U6" s="80"/>
      <c r="V6" s="80"/>
      <c r="W6" s="80"/>
      <c r="X6" s="72"/>
      <c r="Y6" s="72"/>
      <c r="Z6" s="72"/>
      <c r="AA6" s="72"/>
      <c r="AB6" s="47" t="e">
        <f>'1_Role and Responsibilities'!#REF!</f>
        <v>#REF!</v>
      </c>
      <c r="AC6" s="48"/>
    </row>
    <row r="7" spans="1:29" ht="63" customHeight="1" thickBot="1" x14ac:dyDescent="0.3">
      <c r="A7" s="109" t="s">
        <v>41</v>
      </c>
      <c r="B7" s="110" t="s">
        <v>73</v>
      </c>
      <c r="C7" s="111" t="s">
        <v>75</v>
      </c>
      <c r="D7" s="111" t="s">
        <v>77</v>
      </c>
      <c r="E7" s="112" t="s">
        <v>96</v>
      </c>
      <c r="F7" s="112" t="s">
        <v>97</v>
      </c>
      <c r="G7" s="98" t="s">
        <v>98</v>
      </c>
      <c r="H7" s="19" t="s">
        <v>99</v>
      </c>
      <c r="I7" s="112" t="s">
        <v>81</v>
      </c>
      <c r="J7" s="112" t="s">
        <v>83</v>
      </c>
      <c r="K7" s="19" t="s">
        <v>85</v>
      </c>
      <c r="L7" s="19" t="s">
        <v>862</v>
      </c>
      <c r="M7" s="19" t="s">
        <v>88</v>
      </c>
      <c r="N7" s="19" t="s">
        <v>90</v>
      </c>
      <c r="O7" s="81" t="str">
        <f>'1_Role and Responsibilities'!$D22</f>
        <v>Tier 1 Supplier  Project Manager (ECU)</v>
      </c>
      <c r="P7" s="81" t="str">
        <f>'1_Role and Responsibilities'!$D23</f>
        <v>Tier 1 Supplier  Safety Manager (ECU)</v>
      </c>
      <c r="Q7" s="81" t="str">
        <f>'1_Role and Responsibilities'!$D24</f>
        <v>Tier 1 Supplier  Quality Manager (ECU)</v>
      </c>
      <c r="R7" s="81" t="str">
        <f>'1_Role and Responsibilities'!$D25</f>
        <v>Tier 1 Supplier  R&amp;D Manager  (ECU)</v>
      </c>
      <c r="S7" s="81" t="str">
        <f>'1_Role and Responsibilities'!$D26</f>
        <v>Tier 1 Supplier  Safety Expert (ECU)
(System)</v>
      </c>
      <c r="T7" s="81" t="str">
        <f>'1_Role and Responsibilities'!$D27</f>
        <v>Tier 1 Supplier  Safety Expert (ECU)
(HW + HW-Test)</v>
      </c>
      <c r="U7" s="81" t="str">
        <f>'1_Role and Responsibilities'!$D28</f>
        <v>Tier 1 Supplier  Safety Expert (ECU)
(SW + SW-Test, Tool-Qualification)</v>
      </c>
      <c r="V7" s="81" t="str">
        <f>'1_Role and Responsibilities'!$D29</f>
        <v>Tier 1 Supplier  Safety Expert (ECU)
(Safety Analyses, HW-Metrics)</v>
      </c>
      <c r="W7" s="81" t="str">
        <f>'1_Role and Responsibilities'!$D32</f>
        <v xml:space="preserve">  Safety Assessor (ECU)</v>
      </c>
      <c r="X7" s="66" t="s">
        <v>100</v>
      </c>
      <c r="Y7" s="66" t="s">
        <v>101</v>
      </c>
      <c r="Z7" s="66" t="s">
        <v>102</v>
      </c>
      <c r="AA7" s="67" t="s">
        <v>103</v>
      </c>
      <c r="AB7" s="20" t="s">
        <v>94</v>
      </c>
      <c r="AC7" s="20" t="s">
        <v>104</v>
      </c>
    </row>
    <row r="8" spans="1:29" ht="57" customHeight="1" thickBot="1" x14ac:dyDescent="0.3">
      <c r="A8" s="113"/>
      <c r="B8" s="114"/>
      <c r="C8" s="115"/>
      <c r="D8" s="115"/>
      <c r="E8" s="115"/>
      <c r="F8" s="116"/>
      <c r="G8" s="97"/>
      <c r="H8" s="97"/>
      <c r="I8" s="116"/>
      <c r="J8" s="116"/>
      <c r="K8" s="34"/>
      <c r="L8" s="34"/>
      <c r="M8" s="34"/>
      <c r="N8" s="34"/>
      <c r="O8" s="82"/>
      <c r="P8" s="82"/>
      <c r="Q8" s="82"/>
      <c r="R8" s="82"/>
      <c r="S8" s="82"/>
      <c r="T8" s="82"/>
      <c r="U8" s="82"/>
      <c r="V8" s="82"/>
      <c r="W8" s="82"/>
      <c r="X8" s="67" t="s">
        <v>105</v>
      </c>
      <c r="Y8" s="67"/>
      <c r="Z8" s="67" t="s">
        <v>105</v>
      </c>
      <c r="AA8" s="67"/>
      <c r="AB8" s="34"/>
      <c r="AC8" s="34"/>
    </row>
    <row r="9" spans="1:29" ht="57" customHeight="1" thickBot="1" x14ac:dyDescent="0.3">
      <c r="A9" s="117">
        <v>1</v>
      </c>
      <c r="B9" s="118"/>
      <c r="C9" s="349" t="s">
        <v>106</v>
      </c>
      <c r="D9" s="350"/>
      <c r="E9" s="350"/>
      <c r="F9" s="350"/>
      <c r="G9" s="350"/>
      <c r="H9" s="350"/>
      <c r="I9" s="350"/>
      <c r="J9" s="350"/>
      <c r="K9" s="350"/>
      <c r="L9" s="350"/>
      <c r="M9" s="350"/>
      <c r="N9" s="350"/>
      <c r="O9" s="62"/>
      <c r="P9" s="62"/>
      <c r="Q9" s="62"/>
      <c r="R9" s="62"/>
      <c r="S9" s="62"/>
      <c r="T9" s="62"/>
      <c r="U9" s="62"/>
      <c r="V9" s="62"/>
      <c r="W9" s="62"/>
      <c r="X9" s="62"/>
      <c r="Y9" s="62"/>
      <c r="Z9" s="62"/>
      <c r="AA9" s="62"/>
      <c r="AB9" s="62"/>
      <c r="AC9" s="63"/>
    </row>
    <row r="10" spans="1:29" ht="57" customHeight="1" thickBot="1" x14ac:dyDescent="0.3">
      <c r="A10" s="119"/>
      <c r="B10" s="120"/>
      <c r="C10" s="121" t="s">
        <v>107</v>
      </c>
      <c r="D10" s="353" t="s">
        <v>108</v>
      </c>
      <c r="E10" s="354"/>
      <c r="F10" s="354"/>
      <c r="G10" s="122"/>
      <c r="H10" s="122"/>
      <c r="I10" s="122"/>
      <c r="J10" s="122"/>
      <c r="K10" s="58"/>
      <c r="L10" s="58"/>
      <c r="M10" s="58"/>
      <c r="N10" s="58"/>
      <c r="O10" s="84"/>
      <c r="P10" s="84"/>
      <c r="Q10" s="84"/>
      <c r="R10" s="84"/>
      <c r="S10" s="84"/>
      <c r="T10" s="84"/>
      <c r="U10" s="84"/>
      <c r="V10" s="84"/>
      <c r="W10" s="84"/>
      <c r="X10" s="74"/>
      <c r="Y10" s="74"/>
      <c r="Z10" s="74"/>
      <c r="AA10" s="74"/>
      <c r="AB10" s="58"/>
      <c r="AC10" s="58"/>
    </row>
    <row r="11" spans="1:29" ht="106.5" customHeight="1" thickBot="1" x14ac:dyDescent="0.3">
      <c r="A11" s="123"/>
      <c r="B11" s="124"/>
      <c r="C11" s="121" t="s">
        <v>109</v>
      </c>
      <c r="D11" s="355" t="s">
        <v>110</v>
      </c>
      <c r="E11" s="356"/>
      <c r="F11" s="356"/>
      <c r="G11" s="59"/>
      <c r="H11" s="59"/>
      <c r="I11" s="59"/>
      <c r="J11" s="59"/>
      <c r="K11" s="59"/>
      <c r="L11" s="59"/>
      <c r="M11" s="59"/>
      <c r="N11" s="59"/>
      <c r="O11" s="85"/>
      <c r="P11" s="85"/>
      <c r="Q11" s="85"/>
      <c r="R11" s="85"/>
      <c r="S11" s="85"/>
      <c r="T11" s="85"/>
      <c r="U11" s="85"/>
      <c r="V11" s="85"/>
      <c r="W11" s="85"/>
      <c r="X11" s="75"/>
      <c r="Y11" s="75"/>
      <c r="Z11" s="75"/>
      <c r="AA11" s="75"/>
      <c r="AB11" s="59"/>
      <c r="AC11" s="59"/>
    </row>
    <row r="12" spans="1:29" ht="57" customHeight="1" thickBot="1" x14ac:dyDescent="0.3">
      <c r="A12" s="125">
        <v>2</v>
      </c>
      <c r="B12" s="126" t="s">
        <v>111</v>
      </c>
      <c r="C12" s="349" t="s">
        <v>112</v>
      </c>
      <c r="D12" s="350"/>
      <c r="E12" s="350"/>
      <c r="F12" s="350"/>
      <c r="G12" s="350"/>
      <c r="H12" s="350"/>
      <c r="I12" s="350"/>
      <c r="J12" s="350"/>
      <c r="K12" s="350"/>
      <c r="L12" s="350"/>
      <c r="M12" s="350"/>
      <c r="N12" s="350"/>
      <c r="O12" s="83"/>
      <c r="P12" s="83"/>
      <c r="Q12" s="83"/>
      <c r="R12" s="83"/>
      <c r="S12" s="83"/>
      <c r="T12" s="83"/>
      <c r="U12" s="83"/>
      <c r="V12" s="83"/>
      <c r="W12" s="83"/>
      <c r="X12" s="73"/>
      <c r="Y12" s="73"/>
      <c r="Z12" s="73"/>
      <c r="AA12" s="73"/>
      <c r="AB12" s="140"/>
      <c r="AC12" s="53"/>
    </row>
    <row r="13" spans="1:29" ht="57" customHeight="1" thickBot="1" x14ac:dyDescent="0.3">
      <c r="A13" s="127"/>
      <c r="B13" s="138" t="s">
        <v>113</v>
      </c>
      <c r="C13" s="349" t="s">
        <v>114</v>
      </c>
      <c r="D13" s="350"/>
      <c r="E13" s="350"/>
      <c r="F13" s="350"/>
      <c r="G13" s="350"/>
      <c r="H13" s="350"/>
      <c r="I13" s="350"/>
      <c r="J13" s="350"/>
      <c r="K13" s="350"/>
      <c r="L13" s="350"/>
      <c r="M13" s="350"/>
      <c r="N13" s="350"/>
      <c r="O13" s="86"/>
      <c r="P13" s="86"/>
      <c r="Q13" s="86"/>
      <c r="R13" s="86"/>
      <c r="S13" s="86"/>
      <c r="T13" s="86"/>
      <c r="U13" s="86"/>
      <c r="V13" s="86"/>
      <c r="W13" s="86"/>
      <c r="X13" s="71"/>
      <c r="Y13" s="71"/>
      <c r="Z13" s="71"/>
      <c r="AA13" s="71"/>
      <c r="AB13" s="135"/>
      <c r="AC13" s="54"/>
    </row>
    <row r="14" spans="1:29" ht="57" customHeight="1" x14ac:dyDescent="0.25">
      <c r="A14" s="119" t="s">
        <v>115</v>
      </c>
      <c r="B14" s="360" t="s">
        <v>116</v>
      </c>
      <c r="C14" s="328" t="s">
        <v>117</v>
      </c>
      <c r="D14" s="331" t="s">
        <v>118</v>
      </c>
      <c r="E14" s="334" t="s">
        <v>119</v>
      </c>
      <c r="F14" s="334"/>
      <c r="G14" s="337"/>
      <c r="H14" s="340"/>
      <c r="I14" s="334"/>
      <c r="J14" s="331" t="s">
        <v>120</v>
      </c>
      <c r="K14" s="38" t="s">
        <v>121</v>
      </c>
      <c r="L14" s="38" t="s">
        <v>122</v>
      </c>
      <c r="M14" s="61"/>
      <c r="N14" s="61"/>
      <c r="O14" s="89"/>
      <c r="P14" s="89"/>
      <c r="Q14" s="89"/>
      <c r="R14" s="89"/>
      <c r="S14" s="89"/>
      <c r="T14" s="89"/>
      <c r="U14" s="89"/>
      <c r="V14" s="89"/>
      <c r="W14" s="89"/>
      <c r="X14" s="70"/>
      <c r="Y14" s="70"/>
      <c r="Z14" s="70"/>
      <c r="AA14" s="70"/>
      <c r="AB14" s="50"/>
      <c r="AC14" s="92"/>
    </row>
    <row r="15" spans="1:29" ht="57" customHeight="1" x14ac:dyDescent="0.25">
      <c r="A15" s="129"/>
      <c r="B15" s="361"/>
      <c r="C15" s="329"/>
      <c r="D15" s="332"/>
      <c r="E15" s="335"/>
      <c r="F15" s="335"/>
      <c r="G15" s="338"/>
      <c r="H15" s="341"/>
      <c r="I15" s="335"/>
      <c r="J15" s="332"/>
      <c r="K15" s="56"/>
      <c r="L15" s="56"/>
      <c r="M15" s="55"/>
      <c r="N15" s="55"/>
      <c r="O15" s="87"/>
      <c r="P15" s="87"/>
      <c r="Q15" s="87"/>
      <c r="R15" s="87"/>
      <c r="S15" s="87"/>
      <c r="T15" s="87"/>
      <c r="U15" s="87"/>
      <c r="V15" s="87"/>
      <c r="W15" s="87"/>
      <c r="X15" s="68"/>
      <c r="Y15" s="68"/>
      <c r="Z15" s="68"/>
      <c r="AA15" s="68"/>
      <c r="AB15" s="51"/>
      <c r="AC15" s="93"/>
    </row>
    <row r="16" spans="1:29" ht="57" customHeight="1" thickBot="1" x14ac:dyDescent="0.3">
      <c r="A16" s="131"/>
      <c r="B16" s="362"/>
      <c r="C16" s="330"/>
      <c r="D16" s="333"/>
      <c r="E16" s="336"/>
      <c r="F16" s="336"/>
      <c r="G16" s="339"/>
      <c r="H16" s="342"/>
      <c r="I16" s="336"/>
      <c r="J16" s="333"/>
      <c r="K16" s="39"/>
      <c r="L16" s="39"/>
      <c r="M16" s="60"/>
      <c r="N16" s="60"/>
      <c r="O16" s="88"/>
      <c r="P16" s="88"/>
      <c r="Q16" s="88"/>
      <c r="R16" s="88"/>
      <c r="S16" s="88"/>
      <c r="T16" s="88"/>
      <c r="U16" s="88"/>
      <c r="V16" s="88"/>
      <c r="W16" s="88"/>
      <c r="X16" s="69"/>
      <c r="Y16" s="69"/>
      <c r="Z16" s="68"/>
      <c r="AA16" s="68"/>
      <c r="AB16" s="52"/>
      <c r="AC16" s="94"/>
    </row>
    <row r="17" spans="1:29" ht="57" customHeight="1" x14ac:dyDescent="0.25">
      <c r="A17" s="119" t="s">
        <v>123</v>
      </c>
      <c r="B17" s="360" t="s">
        <v>124</v>
      </c>
      <c r="C17" s="328" t="s">
        <v>125</v>
      </c>
      <c r="D17" s="331" t="s">
        <v>126</v>
      </c>
      <c r="E17" s="334" t="s">
        <v>127</v>
      </c>
      <c r="F17" s="334"/>
      <c r="G17" s="337" t="s">
        <v>128</v>
      </c>
      <c r="H17" s="340"/>
      <c r="I17" s="334"/>
      <c r="J17" s="331" t="s">
        <v>125</v>
      </c>
      <c r="K17" s="38"/>
      <c r="L17" s="38"/>
      <c r="M17" s="61"/>
      <c r="N17" s="61"/>
      <c r="O17" s="89"/>
      <c r="P17" s="89"/>
      <c r="Q17" s="89"/>
      <c r="R17" s="89"/>
      <c r="S17" s="89"/>
      <c r="T17" s="89"/>
      <c r="U17" s="89"/>
      <c r="V17" s="89"/>
      <c r="W17" s="89"/>
      <c r="X17" s="70"/>
      <c r="Y17" s="70"/>
      <c r="Z17" s="70"/>
      <c r="AA17" s="70"/>
      <c r="AB17" s="50"/>
      <c r="AC17" s="92"/>
    </row>
    <row r="18" spans="1:29" ht="57" customHeight="1" x14ac:dyDescent="0.25">
      <c r="A18" s="129"/>
      <c r="B18" s="361"/>
      <c r="C18" s="329"/>
      <c r="D18" s="332"/>
      <c r="E18" s="335"/>
      <c r="F18" s="335"/>
      <c r="G18" s="338"/>
      <c r="H18" s="341"/>
      <c r="I18" s="335"/>
      <c r="J18" s="332"/>
      <c r="K18" s="56"/>
      <c r="L18" s="56"/>
      <c r="M18" s="55"/>
      <c r="N18" s="55"/>
      <c r="O18" s="87"/>
      <c r="P18" s="87"/>
      <c r="Q18" s="87"/>
      <c r="R18" s="87"/>
      <c r="S18" s="87"/>
      <c r="T18" s="87"/>
      <c r="U18" s="87"/>
      <c r="V18" s="87"/>
      <c r="W18" s="87"/>
      <c r="X18" s="68"/>
      <c r="Y18" s="68"/>
      <c r="Z18" s="68"/>
      <c r="AA18" s="68"/>
      <c r="AB18" s="51"/>
      <c r="AC18" s="93"/>
    </row>
    <row r="19" spans="1:29" ht="57" customHeight="1" thickBot="1" x14ac:dyDescent="0.3">
      <c r="A19" s="131"/>
      <c r="B19" s="362"/>
      <c r="C19" s="330"/>
      <c r="D19" s="333"/>
      <c r="E19" s="336"/>
      <c r="F19" s="336"/>
      <c r="G19" s="339"/>
      <c r="H19" s="342"/>
      <c r="I19" s="336"/>
      <c r="J19" s="333"/>
      <c r="K19" s="39"/>
      <c r="L19" s="39"/>
      <c r="M19" s="60"/>
      <c r="N19" s="60"/>
      <c r="O19" s="88"/>
      <c r="P19" s="88"/>
      <c r="Q19" s="88"/>
      <c r="R19" s="88"/>
      <c r="S19" s="88"/>
      <c r="T19" s="88"/>
      <c r="U19" s="88"/>
      <c r="V19" s="88"/>
      <c r="W19" s="88"/>
      <c r="X19" s="69"/>
      <c r="Y19" s="69"/>
      <c r="Z19" s="69"/>
      <c r="AA19" s="69"/>
      <c r="AB19" s="52"/>
      <c r="AC19" s="94"/>
    </row>
    <row r="20" spans="1:29" ht="57" customHeight="1" x14ac:dyDescent="0.25">
      <c r="A20" s="119" t="s">
        <v>129</v>
      </c>
      <c r="B20" s="360" t="s">
        <v>130</v>
      </c>
      <c r="C20" s="328" t="s">
        <v>131</v>
      </c>
      <c r="D20" s="331" t="s">
        <v>132</v>
      </c>
      <c r="E20" s="334" t="s">
        <v>133</v>
      </c>
      <c r="F20" s="334"/>
      <c r="G20" s="337" t="s">
        <v>128</v>
      </c>
      <c r="H20" s="340"/>
      <c r="I20" s="334" t="s">
        <v>134</v>
      </c>
      <c r="J20" s="331" t="s">
        <v>131</v>
      </c>
      <c r="K20" s="38"/>
      <c r="L20" s="38"/>
      <c r="M20" s="61"/>
      <c r="N20" s="61"/>
      <c r="O20" s="89"/>
      <c r="P20" s="89"/>
      <c r="Q20" s="89"/>
      <c r="R20" s="89"/>
      <c r="S20" s="89"/>
      <c r="T20" s="89"/>
      <c r="U20" s="89"/>
      <c r="V20" s="89"/>
      <c r="W20" s="89"/>
      <c r="X20" s="70"/>
      <c r="Y20" s="70"/>
      <c r="Z20" s="70"/>
      <c r="AA20" s="70"/>
      <c r="AB20" s="50" t="s">
        <v>135</v>
      </c>
      <c r="AC20" s="92"/>
    </row>
    <row r="21" spans="1:29" ht="57" customHeight="1" x14ac:dyDescent="0.25">
      <c r="A21" s="129"/>
      <c r="B21" s="361"/>
      <c r="C21" s="329"/>
      <c r="D21" s="332"/>
      <c r="E21" s="335"/>
      <c r="F21" s="335"/>
      <c r="G21" s="338"/>
      <c r="H21" s="341"/>
      <c r="I21" s="335"/>
      <c r="J21" s="332"/>
      <c r="K21" s="56"/>
      <c r="L21" s="56"/>
      <c r="M21" s="55"/>
      <c r="N21" s="55"/>
      <c r="O21" s="87"/>
      <c r="P21" s="87"/>
      <c r="Q21" s="87"/>
      <c r="R21" s="87"/>
      <c r="S21" s="87"/>
      <c r="T21" s="87"/>
      <c r="U21" s="87"/>
      <c r="V21" s="87"/>
      <c r="W21" s="87"/>
      <c r="X21" s="68"/>
      <c r="Y21" s="68"/>
      <c r="Z21" s="68"/>
      <c r="AA21" s="68"/>
      <c r="AB21" s="51"/>
      <c r="AC21" s="93"/>
    </row>
    <row r="22" spans="1:29" ht="57" customHeight="1" thickBot="1" x14ac:dyDescent="0.3">
      <c r="A22" s="131"/>
      <c r="B22" s="362"/>
      <c r="C22" s="330"/>
      <c r="D22" s="333"/>
      <c r="E22" s="336"/>
      <c r="F22" s="336"/>
      <c r="G22" s="339"/>
      <c r="H22" s="342"/>
      <c r="I22" s="336"/>
      <c r="J22" s="333"/>
      <c r="K22" s="39"/>
      <c r="L22" s="39"/>
      <c r="M22" s="60"/>
      <c r="N22" s="60"/>
      <c r="O22" s="88"/>
      <c r="P22" s="88"/>
      <c r="Q22" s="88"/>
      <c r="R22" s="88"/>
      <c r="S22" s="88"/>
      <c r="T22" s="88"/>
      <c r="U22" s="88"/>
      <c r="V22" s="88"/>
      <c r="W22" s="88"/>
      <c r="X22" s="69"/>
      <c r="Y22" s="69"/>
      <c r="Z22" s="69"/>
      <c r="AA22" s="69"/>
      <c r="AB22" s="52"/>
      <c r="AC22" s="94"/>
    </row>
    <row r="23" spans="1:29" ht="57" customHeight="1" x14ac:dyDescent="0.25">
      <c r="A23" s="119" t="s">
        <v>129</v>
      </c>
      <c r="B23" s="360" t="s">
        <v>136</v>
      </c>
      <c r="C23" s="328" t="s">
        <v>137</v>
      </c>
      <c r="D23" s="331" t="s">
        <v>138</v>
      </c>
      <c r="E23" s="334"/>
      <c r="F23" s="334"/>
      <c r="G23" s="337" t="s">
        <v>128</v>
      </c>
      <c r="H23" s="340"/>
      <c r="I23" s="334" t="s">
        <v>139</v>
      </c>
      <c r="J23" s="331" t="s">
        <v>140</v>
      </c>
      <c r="K23" s="38"/>
      <c r="L23" s="38"/>
      <c r="M23" s="61"/>
      <c r="N23" s="61"/>
      <c r="O23" s="89"/>
      <c r="P23" s="89"/>
      <c r="Q23" s="89"/>
      <c r="R23" s="89"/>
      <c r="S23" s="89"/>
      <c r="T23" s="89"/>
      <c r="U23" s="89"/>
      <c r="V23" s="89"/>
      <c r="W23" s="89"/>
      <c r="X23" s="70"/>
      <c r="Y23" s="70"/>
      <c r="Z23" s="70"/>
      <c r="AA23" s="70"/>
      <c r="AB23" s="50" t="s">
        <v>135</v>
      </c>
      <c r="AC23" s="92"/>
    </row>
    <row r="24" spans="1:29" ht="57" customHeight="1" x14ac:dyDescent="0.25">
      <c r="A24" s="129"/>
      <c r="B24" s="361"/>
      <c r="C24" s="329"/>
      <c r="D24" s="332"/>
      <c r="E24" s="335"/>
      <c r="F24" s="335"/>
      <c r="G24" s="338"/>
      <c r="H24" s="341"/>
      <c r="I24" s="335"/>
      <c r="J24" s="332"/>
      <c r="K24" s="56"/>
      <c r="L24" s="56"/>
      <c r="M24" s="55"/>
      <c r="N24" s="55"/>
      <c r="O24" s="87"/>
      <c r="P24" s="87"/>
      <c r="Q24" s="87"/>
      <c r="R24" s="87"/>
      <c r="S24" s="87"/>
      <c r="T24" s="87"/>
      <c r="U24" s="87"/>
      <c r="V24" s="87"/>
      <c r="W24" s="87"/>
      <c r="X24" s="68"/>
      <c r="Y24" s="68"/>
      <c r="Z24" s="68"/>
      <c r="AA24" s="68"/>
      <c r="AB24" s="51"/>
      <c r="AC24" s="93"/>
    </row>
    <row r="25" spans="1:29" ht="57" customHeight="1" thickBot="1" x14ac:dyDescent="0.3">
      <c r="A25" s="131"/>
      <c r="B25" s="362"/>
      <c r="C25" s="330"/>
      <c r="D25" s="333"/>
      <c r="E25" s="336"/>
      <c r="F25" s="336"/>
      <c r="G25" s="339"/>
      <c r="H25" s="342"/>
      <c r="I25" s="336"/>
      <c r="J25" s="333"/>
      <c r="K25" s="39"/>
      <c r="L25" s="39"/>
      <c r="M25" s="60"/>
      <c r="N25" s="60"/>
      <c r="O25" s="88"/>
      <c r="P25" s="88"/>
      <c r="Q25" s="88"/>
      <c r="R25" s="88"/>
      <c r="S25" s="88"/>
      <c r="T25" s="88"/>
      <c r="U25" s="88"/>
      <c r="V25" s="88"/>
      <c r="W25" s="88"/>
      <c r="X25" s="69"/>
      <c r="Y25" s="69"/>
      <c r="Z25" s="69"/>
      <c r="AA25" s="69"/>
      <c r="AB25" s="52"/>
      <c r="AC25" s="94"/>
    </row>
    <row r="26" spans="1:29" ht="57" customHeight="1" thickBot="1" x14ac:dyDescent="0.3">
      <c r="A26" s="127"/>
      <c r="B26" s="138" t="s">
        <v>141</v>
      </c>
      <c r="C26" s="351" t="s">
        <v>142</v>
      </c>
      <c r="D26" s="352"/>
      <c r="E26" s="143"/>
      <c r="F26" s="138"/>
      <c r="G26" s="138"/>
      <c r="H26" s="138"/>
      <c r="I26" s="138"/>
      <c r="J26" s="138"/>
      <c r="K26" s="135"/>
      <c r="L26" s="135"/>
      <c r="M26" s="135"/>
      <c r="N26" s="135"/>
      <c r="O26" s="141"/>
      <c r="P26" s="141"/>
      <c r="Q26" s="141"/>
      <c r="R26" s="141"/>
      <c r="S26" s="141"/>
      <c r="T26" s="141"/>
      <c r="U26" s="141"/>
      <c r="V26" s="141"/>
      <c r="W26" s="141"/>
      <c r="X26" s="142"/>
      <c r="Y26" s="142"/>
      <c r="Z26" s="142"/>
      <c r="AA26" s="142"/>
      <c r="AB26" s="135"/>
      <c r="AC26" s="54"/>
    </row>
    <row r="27" spans="1:29" ht="57" customHeight="1" x14ac:dyDescent="0.25">
      <c r="A27" s="119" t="s">
        <v>143</v>
      </c>
      <c r="B27" s="360" t="s">
        <v>144</v>
      </c>
      <c r="C27" s="328" t="s">
        <v>145</v>
      </c>
      <c r="D27" s="331" t="s">
        <v>146</v>
      </c>
      <c r="E27" s="334"/>
      <c r="F27" s="334"/>
      <c r="G27" s="337" t="s">
        <v>128</v>
      </c>
      <c r="H27" s="340"/>
      <c r="I27" s="334" t="s">
        <v>147</v>
      </c>
      <c r="J27" s="331" t="s">
        <v>148</v>
      </c>
      <c r="K27" s="38"/>
      <c r="L27" s="38"/>
      <c r="M27" s="61"/>
      <c r="N27" s="61"/>
      <c r="O27" s="89"/>
      <c r="P27" s="89"/>
      <c r="Q27" s="89"/>
      <c r="R27" s="89"/>
      <c r="S27" s="89"/>
      <c r="T27" s="89"/>
      <c r="U27" s="89"/>
      <c r="V27" s="89"/>
      <c r="W27" s="89"/>
      <c r="X27" s="70"/>
      <c r="Y27" s="70"/>
      <c r="Z27" s="70"/>
      <c r="AA27" s="70"/>
      <c r="AB27" s="50"/>
      <c r="AC27" s="92"/>
    </row>
    <row r="28" spans="1:29" ht="57" customHeight="1" x14ac:dyDescent="0.25">
      <c r="A28" s="129"/>
      <c r="B28" s="361"/>
      <c r="C28" s="329"/>
      <c r="D28" s="332"/>
      <c r="E28" s="335"/>
      <c r="F28" s="335"/>
      <c r="G28" s="338"/>
      <c r="H28" s="341"/>
      <c r="I28" s="335"/>
      <c r="J28" s="332"/>
      <c r="K28" s="56"/>
      <c r="L28" s="56"/>
      <c r="M28" s="55"/>
      <c r="N28" s="55"/>
      <c r="O28" s="87"/>
      <c r="P28" s="87"/>
      <c r="Q28" s="87"/>
      <c r="R28" s="87"/>
      <c r="S28" s="87"/>
      <c r="T28" s="87"/>
      <c r="U28" s="87"/>
      <c r="V28" s="87"/>
      <c r="W28" s="87"/>
      <c r="X28" s="68"/>
      <c r="Y28" s="68"/>
      <c r="Z28" s="68"/>
      <c r="AA28" s="68"/>
      <c r="AB28" s="51"/>
      <c r="AC28" s="93"/>
    </row>
    <row r="29" spans="1:29" ht="57" customHeight="1" thickBot="1" x14ac:dyDescent="0.3">
      <c r="A29" s="131"/>
      <c r="B29" s="362"/>
      <c r="C29" s="330"/>
      <c r="D29" s="333"/>
      <c r="E29" s="336"/>
      <c r="F29" s="336"/>
      <c r="G29" s="339"/>
      <c r="H29" s="342"/>
      <c r="I29" s="336"/>
      <c r="J29" s="333"/>
      <c r="K29" s="39"/>
      <c r="L29" s="39"/>
      <c r="M29" s="60"/>
      <c r="N29" s="60"/>
      <c r="O29" s="88"/>
      <c r="P29" s="88"/>
      <c r="Q29" s="88"/>
      <c r="R29" s="88"/>
      <c r="S29" s="88"/>
      <c r="T29" s="88"/>
      <c r="U29" s="88"/>
      <c r="V29" s="88"/>
      <c r="W29" s="88"/>
      <c r="X29" s="69"/>
      <c r="Y29" s="69"/>
      <c r="Z29" s="69"/>
      <c r="AA29" s="69"/>
      <c r="AB29" s="52"/>
      <c r="AC29" s="94"/>
    </row>
    <row r="30" spans="1:29" ht="57" customHeight="1" x14ac:dyDescent="0.25">
      <c r="A30" s="119" t="s">
        <v>149</v>
      </c>
      <c r="B30" s="360" t="s">
        <v>150</v>
      </c>
      <c r="C30" s="328" t="s">
        <v>151</v>
      </c>
      <c r="D30" s="331" t="s">
        <v>152</v>
      </c>
      <c r="E30" s="334"/>
      <c r="F30" s="334"/>
      <c r="G30" s="337" t="s">
        <v>128</v>
      </c>
      <c r="H30" s="340"/>
      <c r="I30" s="334" t="s">
        <v>153</v>
      </c>
      <c r="J30" s="331" t="s">
        <v>154</v>
      </c>
      <c r="K30" s="38"/>
      <c r="L30" s="38"/>
      <c r="M30" s="61"/>
      <c r="N30" s="61"/>
      <c r="O30" s="89"/>
      <c r="P30" s="89"/>
      <c r="Q30" s="89"/>
      <c r="R30" s="89"/>
      <c r="S30" s="89"/>
      <c r="T30" s="89"/>
      <c r="U30" s="89"/>
      <c r="V30" s="89"/>
      <c r="W30" s="89"/>
      <c r="X30" s="70"/>
      <c r="Y30" s="70"/>
      <c r="Z30" s="70"/>
      <c r="AA30" s="70"/>
      <c r="AB30" s="50"/>
      <c r="AC30" s="92"/>
    </row>
    <row r="31" spans="1:29" ht="57" customHeight="1" x14ac:dyDescent="0.25">
      <c r="A31" s="129"/>
      <c r="B31" s="361"/>
      <c r="C31" s="329"/>
      <c r="D31" s="332"/>
      <c r="E31" s="335"/>
      <c r="F31" s="335"/>
      <c r="G31" s="338"/>
      <c r="H31" s="341"/>
      <c r="I31" s="335"/>
      <c r="J31" s="332"/>
      <c r="K31" s="56"/>
      <c r="L31" s="56"/>
      <c r="M31" s="55"/>
      <c r="N31" s="55"/>
      <c r="O31" s="87"/>
      <c r="P31" s="87"/>
      <c r="Q31" s="87"/>
      <c r="R31" s="87"/>
      <c r="S31" s="87"/>
      <c r="T31" s="87"/>
      <c r="U31" s="87"/>
      <c r="V31" s="87"/>
      <c r="W31" s="87"/>
      <c r="X31" s="68"/>
      <c r="Y31" s="68"/>
      <c r="Z31" s="68"/>
      <c r="AA31" s="68"/>
      <c r="AB31" s="51"/>
      <c r="AC31" s="93"/>
    </row>
    <row r="32" spans="1:29" ht="57" customHeight="1" thickBot="1" x14ac:dyDescent="0.3">
      <c r="A32" s="131"/>
      <c r="B32" s="362"/>
      <c r="C32" s="330"/>
      <c r="D32" s="333"/>
      <c r="E32" s="336"/>
      <c r="F32" s="336"/>
      <c r="G32" s="339"/>
      <c r="H32" s="342"/>
      <c r="I32" s="336"/>
      <c r="J32" s="333"/>
      <c r="K32" s="39"/>
      <c r="L32" s="39"/>
      <c r="M32" s="60"/>
      <c r="N32" s="60"/>
      <c r="O32" s="88"/>
      <c r="P32" s="88"/>
      <c r="Q32" s="88"/>
      <c r="R32" s="88"/>
      <c r="S32" s="88"/>
      <c r="T32" s="88"/>
      <c r="U32" s="88"/>
      <c r="V32" s="88"/>
      <c r="W32" s="88"/>
      <c r="X32" s="69"/>
      <c r="Y32" s="69"/>
      <c r="Z32" s="69"/>
      <c r="AA32" s="69"/>
      <c r="AB32" s="52"/>
      <c r="AC32" s="94"/>
    </row>
    <row r="33" spans="1:29" ht="57" customHeight="1" x14ac:dyDescent="0.25">
      <c r="A33" s="119" t="s">
        <v>155</v>
      </c>
      <c r="B33" s="360" t="s">
        <v>156</v>
      </c>
      <c r="C33" s="328" t="s">
        <v>157</v>
      </c>
      <c r="D33" s="331" t="s">
        <v>158</v>
      </c>
      <c r="E33" s="334"/>
      <c r="F33" s="334"/>
      <c r="G33" s="337" t="s">
        <v>128</v>
      </c>
      <c r="H33" s="340"/>
      <c r="I33" s="334" t="s">
        <v>159</v>
      </c>
      <c r="J33" s="331" t="s">
        <v>157</v>
      </c>
      <c r="K33" s="38"/>
      <c r="L33" s="38"/>
      <c r="M33" s="61"/>
      <c r="N33" s="61"/>
      <c r="O33" s="89"/>
      <c r="P33" s="89"/>
      <c r="Q33" s="89"/>
      <c r="R33" s="89"/>
      <c r="S33" s="89"/>
      <c r="T33" s="89"/>
      <c r="U33" s="89"/>
      <c r="V33" s="89"/>
      <c r="W33" s="89"/>
      <c r="X33" s="70"/>
      <c r="Y33" s="70"/>
      <c r="Z33" s="70"/>
      <c r="AA33" s="70"/>
      <c r="AB33" s="50"/>
      <c r="AC33" s="92"/>
    </row>
    <row r="34" spans="1:29" ht="57" customHeight="1" x14ac:dyDescent="0.25">
      <c r="A34" s="129"/>
      <c r="B34" s="361"/>
      <c r="C34" s="329"/>
      <c r="D34" s="332"/>
      <c r="E34" s="335"/>
      <c r="F34" s="335"/>
      <c r="G34" s="338"/>
      <c r="H34" s="341"/>
      <c r="I34" s="335"/>
      <c r="J34" s="332"/>
      <c r="K34" s="56"/>
      <c r="L34" s="56"/>
      <c r="M34" s="55"/>
      <c r="N34" s="55"/>
      <c r="O34" s="87"/>
      <c r="P34" s="87"/>
      <c r="Q34" s="87"/>
      <c r="R34" s="87"/>
      <c r="S34" s="87"/>
      <c r="T34" s="87"/>
      <c r="U34" s="87"/>
      <c r="V34" s="87"/>
      <c r="W34" s="87"/>
      <c r="X34" s="68"/>
      <c r="Y34" s="68"/>
      <c r="Z34" s="68"/>
      <c r="AA34" s="68"/>
      <c r="AB34" s="51"/>
      <c r="AC34" s="93"/>
    </row>
    <row r="35" spans="1:29" ht="57" customHeight="1" thickBot="1" x14ac:dyDescent="0.3">
      <c r="A35" s="131"/>
      <c r="B35" s="362"/>
      <c r="C35" s="330"/>
      <c r="D35" s="333"/>
      <c r="E35" s="336"/>
      <c r="F35" s="336"/>
      <c r="G35" s="339"/>
      <c r="H35" s="342"/>
      <c r="I35" s="336"/>
      <c r="J35" s="333"/>
      <c r="K35" s="39"/>
      <c r="L35" s="39"/>
      <c r="M35" s="60"/>
      <c r="N35" s="60"/>
      <c r="O35" s="88"/>
      <c r="P35" s="88"/>
      <c r="Q35" s="88"/>
      <c r="R35" s="88"/>
      <c r="S35" s="88"/>
      <c r="T35" s="88"/>
      <c r="U35" s="88"/>
      <c r="V35" s="88"/>
      <c r="W35" s="88"/>
      <c r="X35" s="69"/>
      <c r="Y35" s="69"/>
      <c r="Z35" s="69"/>
      <c r="AA35" s="69"/>
      <c r="AB35" s="52"/>
      <c r="AC35" s="94"/>
    </row>
    <row r="36" spans="1:29" ht="57" customHeight="1" x14ac:dyDescent="0.25">
      <c r="A36" s="119" t="s">
        <v>160</v>
      </c>
      <c r="B36" s="360" t="s">
        <v>161</v>
      </c>
      <c r="C36" s="328" t="s">
        <v>162</v>
      </c>
      <c r="D36" s="331" t="s">
        <v>163</v>
      </c>
      <c r="E36" s="334"/>
      <c r="F36" s="334"/>
      <c r="G36" s="337" t="s">
        <v>128</v>
      </c>
      <c r="H36" s="340"/>
      <c r="I36" s="334" t="s">
        <v>164</v>
      </c>
      <c r="J36" s="331" t="s">
        <v>162</v>
      </c>
      <c r="K36" s="38"/>
      <c r="L36" s="38"/>
      <c r="M36" s="61"/>
      <c r="N36" s="61"/>
      <c r="O36" s="89"/>
      <c r="P36" s="89"/>
      <c r="Q36" s="89"/>
      <c r="R36" s="89"/>
      <c r="S36" s="89"/>
      <c r="T36" s="89"/>
      <c r="U36" s="89"/>
      <c r="V36" s="89"/>
      <c r="W36" s="89"/>
      <c r="X36" s="70"/>
      <c r="Y36" s="70"/>
      <c r="Z36" s="70"/>
      <c r="AA36" s="70"/>
      <c r="AB36" s="50"/>
      <c r="AC36" s="92"/>
    </row>
    <row r="37" spans="1:29" ht="57" customHeight="1" x14ac:dyDescent="0.25">
      <c r="A37" s="129"/>
      <c r="B37" s="361"/>
      <c r="C37" s="329"/>
      <c r="D37" s="332"/>
      <c r="E37" s="335"/>
      <c r="F37" s="335"/>
      <c r="G37" s="338"/>
      <c r="H37" s="341"/>
      <c r="I37" s="335"/>
      <c r="J37" s="332"/>
      <c r="K37" s="56"/>
      <c r="L37" s="56"/>
      <c r="M37" s="55"/>
      <c r="N37" s="55"/>
      <c r="O37" s="87"/>
      <c r="P37" s="87"/>
      <c r="Q37" s="87"/>
      <c r="R37" s="87"/>
      <c r="S37" s="87"/>
      <c r="T37" s="87"/>
      <c r="U37" s="87"/>
      <c r="V37" s="87"/>
      <c r="W37" s="87"/>
      <c r="X37" s="68"/>
      <c r="Y37" s="68"/>
      <c r="Z37" s="68"/>
      <c r="AA37" s="68"/>
      <c r="AB37" s="51"/>
      <c r="AC37" s="93"/>
    </row>
    <row r="38" spans="1:29" ht="57" customHeight="1" thickBot="1" x14ac:dyDescent="0.3">
      <c r="A38" s="131"/>
      <c r="B38" s="362"/>
      <c r="C38" s="330"/>
      <c r="D38" s="333"/>
      <c r="E38" s="336"/>
      <c r="F38" s="336"/>
      <c r="G38" s="339"/>
      <c r="H38" s="342"/>
      <c r="I38" s="336"/>
      <c r="J38" s="333"/>
      <c r="K38" s="39"/>
      <c r="L38" s="39"/>
      <c r="M38" s="60"/>
      <c r="N38" s="60"/>
      <c r="O38" s="88"/>
      <c r="P38" s="88"/>
      <c r="Q38" s="88"/>
      <c r="R38" s="88"/>
      <c r="S38" s="88"/>
      <c r="T38" s="88"/>
      <c r="U38" s="88"/>
      <c r="V38" s="88"/>
      <c r="W38" s="88"/>
      <c r="X38" s="69"/>
      <c r="Y38" s="69"/>
      <c r="Z38" s="69"/>
      <c r="AA38" s="69"/>
      <c r="AB38" s="52"/>
      <c r="AC38" s="94"/>
    </row>
    <row r="39" spans="1:29" ht="57" customHeight="1" x14ac:dyDescent="0.25">
      <c r="A39" s="119" t="s">
        <v>165</v>
      </c>
      <c r="B39" s="360" t="s">
        <v>161</v>
      </c>
      <c r="C39" s="328" t="s">
        <v>166</v>
      </c>
      <c r="D39" s="331" t="s">
        <v>167</v>
      </c>
      <c r="E39" s="334"/>
      <c r="F39" s="334"/>
      <c r="G39" s="337" t="s">
        <v>128</v>
      </c>
      <c r="H39" s="340"/>
      <c r="I39" s="334" t="s">
        <v>168</v>
      </c>
      <c r="J39" s="331" t="s">
        <v>169</v>
      </c>
      <c r="K39" s="38"/>
      <c r="L39" s="38"/>
      <c r="M39" s="61"/>
      <c r="N39" s="61"/>
      <c r="O39" s="89"/>
      <c r="P39" s="89"/>
      <c r="Q39" s="89"/>
      <c r="R39" s="89"/>
      <c r="S39" s="89"/>
      <c r="T39" s="89"/>
      <c r="U39" s="89"/>
      <c r="V39" s="89"/>
      <c r="W39" s="89"/>
      <c r="X39" s="70"/>
      <c r="Y39" s="70"/>
      <c r="Z39" s="70"/>
      <c r="AA39" s="70"/>
      <c r="AB39" s="50"/>
      <c r="AC39" s="92"/>
    </row>
    <row r="40" spans="1:29" ht="57" customHeight="1" x14ac:dyDescent="0.25">
      <c r="A40" s="129"/>
      <c r="B40" s="361"/>
      <c r="C40" s="329"/>
      <c r="D40" s="332"/>
      <c r="E40" s="335"/>
      <c r="F40" s="335"/>
      <c r="G40" s="338"/>
      <c r="H40" s="341"/>
      <c r="I40" s="335"/>
      <c r="J40" s="332"/>
      <c r="K40" s="56"/>
      <c r="L40" s="56"/>
      <c r="M40" s="55"/>
      <c r="N40" s="55"/>
      <c r="O40" s="87"/>
      <c r="P40" s="87"/>
      <c r="Q40" s="87"/>
      <c r="R40" s="87"/>
      <c r="S40" s="87"/>
      <c r="T40" s="87"/>
      <c r="U40" s="87"/>
      <c r="V40" s="87"/>
      <c r="W40" s="87"/>
      <c r="X40" s="68"/>
      <c r="Y40" s="68"/>
      <c r="Z40" s="68"/>
      <c r="AA40" s="68"/>
      <c r="AB40" s="51"/>
      <c r="AC40" s="93"/>
    </row>
    <row r="41" spans="1:29" ht="57" customHeight="1" thickBot="1" x14ac:dyDescent="0.3">
      <c r="A41" s="131"/>
      <c r="B41" s="362"/>
      <c r="C41" s="330"/>
      <c r="D41" s="333"/>
      <c r="E41" s="336"/>
      <c r="F41" s="336"/>
      <c r="G41" s="339"/>
      <c r="H41" s="342"/>
      <c r="I41" s="336"/>
      <c r="J41" s="333"/>
      <c r="K41" s="39"/>
      <c r="L41" s="39"/>
      <c r="M41" s="60"/>
      <c r="N41" s="60"/>
      <c r="O41" s="88"/>
      <c r="P41" s="88"/>
      <c r="Q41" s="88"/>
      <c r="R41" s="88"/>
      <c r="S41" s="88"/>
      <c r="T41" s="88"/>
      <c r="U41" s="88"/>
      <c r="V41" s="88"/>
      <c r="W41" s="88"/>
      <c r="X41" s="69"/>
      <c r="Y41" s="69"/>
      <c r="Z41" s="69"/>
      <c r="AA41" s="69"/>
      <c r="AB41" s="52"/>
      <c r="AC41" s="94"/>
    </row>
    <row r="42" spans="1:29" ht="57" customHeight="1" x14ac:dyDescent="0.25">
      <c r="A42" s="119" t="s">
        <v>170</v>
      </c>
      <c r="B42" s="360" t="s">
        <v>171</v>
      </c>
      <c r="C42" s="328" t="s">
        <v>172</v>
      </c>
      <c r="D42" s="331" t="s">
        <v>173</v>
      </c>
      <c r="E42" s="334" t="s">
        <v>174</v>
      </c>
      <c r="F42" s="334"/>
      <c r="G42" s="337" t="s">
        <v>128</v>
      </c>
      <c r="H42" s="340"/>
      <c r="I42" s="334" t="s">
        <v>175</v>
      </c>
      <c r="J42" s="331" t="s">
        <v>172</v>
      </c>
      <c r="K42" s="38"/>
      <c r="L42" s="38"/>
      <c r="M42" s="61"/>
      <c r="N42" s="61"/>
      <c r="O42" s="89"/>
      <c r="P42" s="89"/>
      <c r="Q42" s="89"/>
      <c r="R42" s="89"/>
      <c r="S42" s="89"/>
      <c r="T42" s="89"/>
      <c r="U42" s="89"/>
      <c r="V42" s="89"/>
      <c r="W42" s="89"/>
      <c r="X42" s="70"/>
      <c r="Y42" s="70"/>
      <c r="Z42" s="70"/>
      <c r="AA42" s="70"/>
      <c r="AB42" s="50"/>
      <c r="AC42" s="92"/>
    </row>
    <row r="43" spans="1:29" ht="57" customHeight="1" x14ac:dyDescent="0.25">
      <c r="A43" s="129"/>
      <c r="B43" s="361"/>
      <c r="C43" s="329"/>
      <c r="D43" s="332"/>
      <c r="E43" s="335"/>
      <c r="F43" s="335"/>
      <c r="G43" s="338"/>
      <c r="H43" s="341"/>
      <c r="I43" s="335"/>
      <c r="J43" s="332"/>
      <c r="K43" s="56"/>
      <c r="L43" s="56"/>
      <c r="M43" s="55"/>
      <c r="N43" s="55"/>
      <c r="O43" s="87"/>
      <c r="P43" s="87"/>
      <c r="Q43" s="87"/>
      <c r="R43" s="87"/>
      <c r="S43" s="87"/>
      <c r="T43" s="87"/>
      <c r="U43" s="87"/>
      <c r="V43" s="87"/>
      <c r="W43" s="87"/>
      <c r="X43" s="68"/>
      <c r="Y43" s="68"/>
      <c r="Z43" s="68"/>
      <c r="AA43" s="68"/>
      <c r="AB43" s="51"/>
      <c r="AC43" s="93"/>
    </row>
    <row r="44" spans="1:29" ht="57" customHeight="1" thickBot="1" x14ac:dyDescent="0.3">
      <c r="A44" s="131"/>
      <c r="B44" s="362"/>
      <c r="C44" s="330"/>
      <c r="D44" s="333"/>
      <c r="E44" s="336"/>
      <c r="F44" s="336"/>
      <c r="G44" s="339"/>
      <c r="H44" s="342"/>
      <c r="I44" s="336"/>
      <c r="J44" s="333"/>
      <c r="K44" s="39"/>
      <c r="L44" s="39"/>
      <c r="M44" s="60"/>
      <c r="N44" s="60"/>
      <c r="O44" s="88"/>
      <c r="P44" s="88"/>
      <c r="Q44" s="88"/>
      <c r="R44" s="88"/>
      <c r="S44" s="88"/>
      <c r="T44" s="88"/>
      <c r="U44" s="88"/>
      <c r="V44" s="88"/>
      <c r="W44" s="88"/>
      <c r="X44" s="69"/>
      <c r="Y44" s="69"/>
      <c r="Z44" s="69"/>
      <c r="AA44" s="69"/>
      <c r="AB44" s="52"/>
      <c r="AC44" s="94"/>
    </row>
    <row r="45" spans="1:29" ht="57" customHeight="1" thickBot="1" x14ac:dyDescent="0.3">
      <c r="A45" s="127"/>
      <c r="B45" s="133" t="s">
        <v>176</v>
      </c>
      <c r="C45" s="351" t="s">
        <v>177</v>
      </c>
      <c r="D45" s="352"/>
      <c r="E45" s="143"/>
      <c r="F45" s="143"/>
      <c r="G45" s="143"/>
      <c r="H45" s="143"/>
      <c r="I45" s="143"/>
      <c r="J45" s="143"/>
      <c r="K45" s="140"/>
      <c r="L45" s="140"/>
      <c r="M45" s="135"/>
      <c r="N45" s="135"/>
      <c r="O45" s="141"/>
      <c r="P45" s="141"/>
      <c r="Q45" s="141"/>
      <c r="R45" s="141"/>
      <c r="S45" s="141"/>
      <c r="T45" s="141"/>
      <c r="U45" s="141"/>
      <c r="V45" s="141"/>
      <c r="W45" s="141"/>
      <c r="X45" s="142"/>
      <c r="Y45" s="142"/>
      <c r="Z45" s="142"/>
      <c r="AA45" s="142"/>
      <c r="AB45" s="135"/>
      <c r="AC45" s="54"/>
    </row>
    <row r="46" spans="1:29" ht="57" customHeight="1" x14ac:dyDescent="0.25">
      <c r="A46" s="119" t="s">
        <v>178</v>
      </c>
      <c r="B46" s="360" t="s">
        <v>179</v>
      </c>
      <c r="C46" s="328" t="s">
        <v>180</v>
      </c>
      <c r="D46" s="331" t="s">
        <v>181</v>
      </c>
      <c r="E46" s="334"/>
      <c r="F46" s="334"/>
      <c r="G46" s="337" t="s">
        <v>128</v>
      </c>
      <c r="H46" s="340"/>
      <c r="I46" s="334" t="s">
        <v>131</v>
      </c>
      <c r="J46" s="331" t="s">
        <v>182</v>
      </c>
      <c r="K46" s="38"/>
      <c r="L46" s="38"/>
      <c r="M46" s="61"/>
      <c r="N46" s="61"/>
      <c r="O46" s="89"/>
      <c r="P46" s="89"/>
      <c r="Q46" s="89"/>
      <c r="R46" s="89"/>
      <c r="S46" s="89"/>
      <c r="T46" s="89"/>
      <c r="U46" s="89"/>
      <c r="V46" s="89"/>
      <c r="W46" s="89"/>
      <c r="X46" s="70"/>
      <c r="Y46" s="70"/>
      <c r="Z46" s="70"/>
      <c r="AA46" s="70"/>
      <c r="AB46" s="50"/>
      <c r="AC46" s="92"/>
    </row>
    <row r="47" spans="1:29" ht="57" customHeight="1" x14ac:dyDescent="0.25">
      <c r="A47" s="129"/>
      <c r="B47" s="361"/>
      <c r="C47" s="329"/>
      <c r="D47" s="332"/>
      <c r="E47" s="335"/>
      <c r="F47" s="335"/>
      <c r="G47" s="338"/>
      <c r="H47" s="341"/>
      <c r="I47" s="335"/>
      <c r="J47" s="332"/>
      <c r="K47" s="56"/>
      <c r="L47" s="56"/>
      <c r="M47" s="55"/>
      <c r="N47" s="55"/>
      <c r="O47" s="87"/>
      <c r="P47" s="87"/>
      <c r="Q47" s="87"/>
      <c r="R47" s="87"/>
      <c r="S47" s="87"/>
      <c r="T47" s="87"/>
      <c r="U47" s="87"/>
      <c r="V47" s="87"/>
      <c r="W47" s="87"/>
      <c r="X47" s="68"/>
      <c r="Y47" s="68"/>
      <c r="Z47" s="68"/>
      <c r="AA47" s="68"/>
      <c r="AB47" s="51"/>
      <c r="AC47" s="93"/>
    </row>
    <row r="48" spans="1:29" ht="57" customHeight="1" thickBot="1" x14ac:dyDescent="0.3">
      <c r="A48" s="131"/>
      <c r="B48" s="362"/>
      <c r="C48" s="330"/>
      <c r="D48" s="333"/>
      <c r="E48" s="336"/>
      <c r="F48" s="336"/>
      <c r="G48" s="339"/>
      <c r="H48" s="342"/>
      <c r="I48" s="336"/>
      <c r="J48" s="333"/>
      <c r="K48" s="39"/>
      <c r="L48" s="39"/>
      <c r="M48" s="60"/>
      <c r="N48" s="60"/>
      <c r="O48" s="88"/>
      <c r="P48" s="88"/>
      <c r="Q48" s="88"/>
      <c r="R48" s="88"/>
      <c r="S48" s="88"/>
      <c r="T48" s="88"/>
      <c r="U48" s="88"/>
      <c r="V48" s="88"/>
      <c r="W48" s="88"/>
      <c r="X48" s="69"/>
      <c r="Y48" s="69"/>
      <c r="Z48" s="69"/>
      <c r="AA48" s="69"/>
      <c r="AB48" s="52"/>
      <c r="AC48" s="94"/>
    </row>
    <row r="49" spans="1:29" ht="57" customHeight="1" thickBot="1" x14ac:dyDescent="0.3">
      <c r="A49" s="127">
        <v>3</v>
      </c>
      <c r="B49" s="138" t="s">
        <v>183</v>
      </c>
      <c r="C49" s="347"/>
      <c r="D49" s="348"/>
      <c r="E49" s="137"/>
      <c r="F49" s="138"/>
      <c r="G49" s="138"/>
      <c r="H49" s="138"/>
      <c r="I49" s="138"/>
      <c r="J49" s="138"/>
      <c r="K49" s="135"/>
      <c r="L49" s="135"/>
      <c r="M49" s="135"/>
      <c r="N49" s="135"/>
      <c r="O49" s="141"/>
      <c r="P49" s="141"/>
      <c r="Q49" s="141"/>
      <c r="R49" s="141"/>
      <c r="S49" s="141"/>
      <c r="T49" s="141"/>
      <c r="U49" s="141"/>
      <c r="V49" s="141"/>
      <c r="W49" s="141"/>
      <c r="X49" s="142"/>
      <c r="Y49" s="142"/>
      <c r="Z49" s="142"/>
      <c r="AA49" s="142"/>
      <c r="AB49" s="135"/>
      <c r="AC49" s="54"/>
    </row>
    <row r="50" spans="1:29" ht="57" customHeight="1" thickBot="1" x14ac:dyDescent="0.3">
      <c r="A50" s="127"/>
      <c r="B50" s="138" t="s">
        <v>184</v>
      </c>
      <c r="C50" s="347" t="s">
        <v>185</v>
      </c>
      <c r="D50" s="348"/>
      <c r="E50" s="137"/>
      <c r="F50" s="138"/>
      <c r="G50" s="138"/>
      <c r="H50" s="138"/>
      <c r="I50" s="138"/>
      <c r="J50" s="138"/>
      <c r="K50" s="135"/>
      <c r="L50" s="135"/>
      <c r="M50" s="135"/>
      <c r="N50" s="135"/>
      <c r="O50" s="141"/>
      <c r="P50" s="141"/>
      <c r="Q50" s="141"/>
      <c r="R50" s="141"/>
      <c r="S50" s="141"/>
      <c r="T50" s="141"/>
      <c r="U50" s="141"/>
      <c r="V50" s="141"/>
      <c r="W50" s="141"/>
      <c r="X50" s="142"/>
      <c r="Y50" s="142"/>
      <c r="Z50" s="142"/>
      <c r="AA50" s="142"/>
      <c r="AB50" s="135"/>
      <c r="AC50" s="54"/>
    </row>
    <row r="51" spans="1:29" ht="57" customHeight="1" x14ac:dyDescent="0.25">
      <c r="A51" s="119" t="s">
        <v>186</v>
      </c>
      <c r="B51" s="360" t="s">
        <v>187</v>
      </c>
      <c r="C51" s="328" t="s">
        <v>188</v>
      </c>
      <c r="D51" s="331" t="s">
        <v>189</v>
      </c>
      <c r="E51" s="334" t="s">
        <v>190</v>
      </c>
      <c r="F51" s="334"/>
      <c r="G51" s="337" t="s">
        <v>128</v>
      </c>
      <c r="H51" s="340"/>
      <c r="I51" s="334" t="s">
        <v>191</v>
      </c>
      <c r="J51" s="331" t="s">
        <v>192</v>
      </c>
      <c r="K51" s="38"/>
      <c r="L51" s="38"/>
      <c r="M51" s="61"/>
      <c r="N51" s="61"/>
      <c r="O51" s="89"/>
      <c r="P51" s="89"/>
      <c r="Q51" s="89"/>
      <c r="R51" s="89"/>
      <c r="S51" s="89"/>
      <c r="T51" s="89"/>
      <c r="U51" s="89"/>
      <c r="V51" s="89"/>
      <c r="W51" s="89"/>
      <c r="X51" s="70"/>
      <c r="Y51" s="70"/>
      <c r="Z51" s="70"/>
      <c r="AA51" s="70"/>
      <c r="AB51" s="50"/>
      <c r="AC51" s="92"/>
    </row>
    <row r="52" spans="1:29" ht="57" customHeight="1" x14ac:dyDescent="0.25">
      <c r="A52" s="129"/>
      <c r="B52" s="361"/>
      <c r="C52" s="329"/>
      <c r="D52" s="332"/>
      <c r="E52" s="335"/>
      <c r="F52" s="335"/>
      <c r="G52" s="338"/>
      <c r="H52" s="341" t="e">
        <f>IF(#REF!="","",#REF!)</f>
        <v>#REF!</v>
      </c>
      <c r="I52" s="335"/>
      <c r="J52" s="332"/>
      <c r="K52" s="56"/>
      <c r="L52" s="56"/>
      <c r="M52" s="55"/>
      <c r="N52" s="55"/>
      <c r="O52" s="87"/>
      <c r="P52" s="87"/>
      <c r="Q52" s="87"/>
      <c r="R52" s="87"/>
      <c r="S52" s="87"/>
      <c r="T52" s="87"/>
      <c r="U52" s="87"/>
      <c r="V52" s="87"/>
      <c r="W52" s="87"/>
      <c r="X52" s="68"/>
      <c r="Y52" s="68"/>
      <c r="Z52" s="68"/>
      <c r="AA52" s="68"/>
      <c r="AB52" s="51"/>
      <c r="AC52" s="93"/>
    </row>
    <row r="53" spans="1:29" ht="57" customHeight="1" thickBot="1" x14ac:dyDescent="0.3">
      <c r="A53" s="131"/>
      <c r="B53" s="362"/>
      <c r="C53" s="330"/>
      <c r="D53" s="333"/>
      <c r="E53" s="336"/>
      <c r="F53" s="336"/>
      <c r="G53" s="339"/>
      <c r="H53" s="342"/>
      <c r="I53" s="336"/>
      <c r="J53" s="333"/>
      <c r="K53" s="39"/>
      <c r="L53" s="39"/>
      <c r="M53" s="60"/>
      <c r="N53" s="60"/>
      <c r="O53" s="88"/>
      <c r="P53" s="88"/>
      <c r="Q53" s="88"/>
      <c r="R53" s="88"/>
      <c r="S53" s="88"/>
      <c r="T53" s="88"/>
      <c r="U53" s="88"/>
      <c r="V53" s="88"/>
      <c r="W53" s="88"/>
      <c r="X53" s="69"/>
      <c r="Y53" s="69"/>
      <c r="Z53" s="69"/>
      <c r="AA53" s="69"/>
      <c r="AB53" s="52"/>
      <c r="AC53" s="94"/>
    </row>
    <row r="54" spans="1:29" ht="57" customHeight="1" thickBot="1" x14ac:dyDescent="0.3">
      <c r="A54" s="127"/>
      <c r="B54" s="138" t="s">
        <v>193</v>
      </c>
      <c r="C54" s="347" t="s">
        <v>194</v>
      </c>
      <c r="D54" s="348"/>
      <c r="E54" s="137"/>
      <c r="F54" s="138"/>
      <c r="G54" s="138"/>
      <c r="H54" s="138"/>
      <c r="I54" s="138"/>
      <c r="J54" s="138"/>
      <c r="K54" s="135"/>
      <c r="L54" s="135"/>
      <c r="M54" s="135"/>
      <c r="N54" s="135"/>
      <c r="O54" s="141"/>
      <c r="P54" s="141"/>
      <c r="Q54" s="141"/>
      <c r="R54" s="141"/>
      <c r="S54" s="141"/>
      <c r="T54" s="141"/>
      <c r="U54" s="141"/>
      <c r="V54" s="141"/>
      <c r="W54" s="141"/>
      <c r="X54" s="142"/>
      <c r="Y54" s="142"/>
      <c r="Z54" s="142"/>
      <c r="AA54" s="142"/>
      <c r="AB54" s="135"/>
      <c r="AC54" s="54"/>
    </row>
    <row r="55" spans="1:29" ht="57" customHeight="1" x14ac:dyDescent="0.25">
      <c r="A55" s="119" t="s">
        <v>195</v>
      </c>
      <c r="B55" s="128" t="s">
        <v>196</v>
      </c>
      <c r="C55" s="328" t="s">
        <v>197</v>
      </c>
      <c r="D55" s="331" t="s">
        <v>198</v>
      </c>
      <c r="E55" s="334"/>
      <c r="F55" s="334"/>
      <c r="G55" s="337" t="s">
        <v>128</v>
      </c>
      <c r="H55" s="340"/>
      <c r="I55" s="334" t="s">
        <v>199</v>
      </c>
      <c r="J55" s="331" t="s">
        <v>200</v>
      </c>
      <c r="K55" s="38"/>
      <c r="L55" s="38"/>
      <c r="M55" s="61"/>
      <c r="N55" s="61"/>
      <c r="O55" s="89"/>
      <c r="P55" s="89"/>
      <c r="Q55" s="89"/>
      <c r="R55" s="89"/>
      <c r="S55" s="89"/>
      <c r="T55" s="89"/>
      <c r="U55" s="89"/>
      <c r="V55" s="89"/>
      <c r="W55" s="89"/>
      <c r="X55" s="70"/>
      <c r="Y55" s="70"/>
      <c r="Z55" s="70"/>
      <c r="AA55" s="70"/>
      <c r="AB55" s="50"/>
      <c r="AC55" s="92"/>
    </row>
    <row r="56" spans="1:29" ht="57" customHeight="1" x14ac:dyDescent="0.25">
      <c r="A56" s="129"/>
      <c r="B56" s="130"/>
      <c r="C56" s="329"/>
      <c r="D56" s="332"/>
      <c r="E56" s="335"/>
      <c r="F56" s="335"/>
      <c r="G56" s="338"/>
      <c r="H56" s="341"/>
      <c r="I56" s="335"/>
      <c r="J56" s="332"/>
      <c r="K56" s="56"/>
      <c r="L56" s="56"/>
      <c r="M56" s="55"/>
      <c r="N56" s="55"/>
      <c r="O56" s="87"/>
      <c r="P56" s="87"/>
      <c r="Q56" s="87"/>
      <c r="R56" s="87"/>
      <c r="S56" s="87"/>
      <c r="T56" s="87"/>
      <c r="U56" s="87"/>
      <c r="V56" s="87"/>
      <c r="W56" s="87"/>
      <c r="X56" s="68"/>
      <c r="Y56" s="68"/>
      <c r="Z56" s="68"/>
      <c r="AA56" s="68"/>
      <c r="AB56" s="51"/>
      <c r="AC56" s="93"/>
    </row>
    <row r="57" spans="1:29" ht="57" customHeight="1" thickBot="1" x14ac:dyDescent="0.3">
      <c r="A57" s="131"/>
      <c r="B57" s="132"/>
      <c r="C57" s="330"/>
      <c r="D57" s="333"/>
      <c r="E57" s="336"/>
      <c r="F57" s="336"/>
      <c r="G57" s="339"/>
      <c r="H57" s="342"/>
      <c r="I57" s="336"/>
      <c r="J57" s="333"/>
      <c r="K57" s="39"/>
      <c r="L57" s="39"/>
      <c r="M57" s="60"/>
      <c r="N57" s="60"/>
      <c r="O57" s="88"/>
      <c r="P57" s="88"/>
      <c r="Q57" s="88"/>
      <c r="R57" s="88"/>
      <c r="S57" s="88"/>
      <c r="T57" s="88"/>
      <c r="U57" s="88"/>
      <c r="V57" s="88"/>
      <c r="W57" s="88"/>
      <c r="X57" s="69"/>
      <c r="Y57" s="69"/>
      <c r="Z57" s="69"/>
      <c r="AA57" s="69"/>
      <c r="AB57" s="52"/>
      <c r="AC57" s="94"/>
    </row>
    <row r="58" spans="1:29" ht="57" customHeight="1" x14ac:dyDescent="0.25">
      <c r="A58" s="119" t="s">
        <v>201</v>
      </c>
      <c r="B58" s="128" t="s">
        <v>202</v>
      </c>
      <c r="C58" s="328" t="s">
        <v>203</v>
      </c>
      <c r="D58" s="331" t="s">
        <v>204</v>
      </c>
      <c r="E58" s="334" t="s">
        <v>205</v>
      </c>
      <c r="F58" s="334"/>
      <c r="G58" s="337" t="s">
        <v>128</v>
      </c>
      <c r="H58" s="340"/>
      <c r="I58" s="334" t="s">
        <v>206</v>
      </c>
      <c r="J58" s="331" t="s">
        <v>207</v>
      </c>
      <c r="K58" s="38"/>
      <c r="L58" s="38"/>
      <c r="M58" s="61"/>
      <c r="N58" s="61"/>
      <c r="O58" s="89"/>
      <c r="P58" s="89"/>
      <c r="Q58" s="89"/>
      <c r="R58" s="89"/>
      <c r="S58" s="89"/>
      <c r="T58" s="89"/>
      <c r="U58" s="89"/>
      <c r="V58" s="89"/>
      <c r="W58" s="89"/>
      <c r="X58" s="70"/>
      <c r="Y58" s="70"/>
      <c r="Z58" s="70"/>
      <c r="AA58" s="70"/>
      <c r="AB58" s="50"/>
      <c r="AC58" s="92"/>
    </row>
    <row r="59" spans="1:29" ht="57" customHeight="1" x14ac:dyDescent="0.25">
      <c r="A59" s="129"/>
      <c r="B59" s="130"/>
      <c r="C59" s="329"/>
      <c r="D59" s="332"/>
      <c r="E59" s="335"/>
      <c r="F59" s="335"/>
      <c r="G59" s="338"/>
      <c r="H59" s="341"/>
      <c r="I59" s="335"/>
      <c r="J59" s="332"/>
      <c r="K59" s="56"/>
      <c r="L59" s="56"/>
      <c r="M59" s="55"/>
      <c r="N59" s="55"/>
      <c r="O59" s="87"/>
      <c r="P59" s="87"/>
      <c r="Q59" s="87"/>
      <c r="R59" s="87"/>
      <c r="S59" s="87"/>
      <c r="T59" s="87"/>
      <c r="U59" s="87"/>
      <c r="V59" s="87"/>
      <c r="W59" s="87"/>
      <c r="X59" s="68"/>
      <c r="Y59" s="68"/>
      <c r="Z59" s="68"/>
      <c r="AA59" s="68"/>
      <c r="AB59" s="51"/>
      <c r="AC59" s="93"/>
    </row>
    <row r="60" spans="1:29" ht="57" customHeight="1" thickBot="1" x14ac:dyDescent="0.3">
      <c r="A60" s="131"/>
      <c r="B60" s="132"/>
      <c r="C60" s="330"/>
      <c r="D60" s="333"/>
      <c r="E60" s="336"/>
      <c r="F60" s="336"/>
      <c r="G60" s="339"/>
      <c r="H60" s="342"/>
      <c r="I60" s="336"/>
      <c r="J60" s="333"/>
      <c r="K60" s="39"/>
      <c r="L60" s="39"/>
      <c r="M60" s="60"/>
      <c r="N60" s="60"/>
      <c r="O60" s="88"/>
      <c r="P60" s="88"/>
      <c r="Q60" s="88"/>
      <c r="R60" s="88"/>
      <c r="S60" s="88"/>
      <c r="T60" s="88"/>
      <c r="U60" s="88"/>
      <c r="V60" s="88"/>
      <c r="W60" s="88"/>
      <c r="X60" s="69"/>
      <c r="Y60" s="69"/>
      <c r="Z60" s="69"/>
      <c r="AA60" s="69"/>
      <c r="AB60" s="52"/>
      <c r="AC60" s="94"/>
    </row>
    <row r="61" spans="1:29" ht="57" customHeight="1" x14ac:dyDescent="0.25">
      <c r="A61" s="119" t="s">
        <v>208</v>
      </c>
      <c r="B61" s="128" t="s">
        <v>209</v>
      </c>
      <c r="C61" s="328" t="s">
        <v>210</v>
      </c>
      <c r="D61" s="331" t="s">
        <v>211</v>
      </c>
      <c r="E61" s="334"/>
      <c r="F61" s="334"/>
      <c r="G61" s="337" t="s">
        <v>128</v>
      </c>
      <c r="H61" s="340"/>
      <c r="I61" s="334" t="s">
        <v>212</v>
      </c>
      <c r="J61" s="331" t="s">
        <v>213</v>
      </c>
      <c r="K61" s="38"/>
      <c r="L61" s="38"/>
      <c r="M61" s="61"/>
      <c r="N61" s="61"/>
      <c r="O61" s="89"/>
      <c r="P61" s="89"/>
      <c r="Q61" s="89"/>
      <c r="R61" s="89"/>
      <c r="S61" s="89"/>
      <c r="T61" s="89"/>
      <c r="U61" s="89"/>
      <c r="V61" s="89"/>
      <c r="W61" s="89"/>
      <c r="X61" s="70"/>
      <c r="Y61" s="70"/>
      <c r="Z61" s="70"/>
      <c r="AA61" s="70"/>
      <c r="AB61" s="50"/>
      <c r="AC61" s="92"/>
    </row>
    <row r="62" spans="1:29" ht="57" customHeight="1" x14ac:dyDescent="0.25">
      <c r="A62" s="129"/>
      <c r="B62" s="130"/>
      <c r="C62" s="329"/>
      <c r="D62" s="332"/>
      <c r="E62" s="335"/>
      <c r="F62" s="335"/>
      <c r="G62" s="338"/>
      <c r="H62" s="341"/>
      <c r="I62" s="335"/>
      <c r="J62" s="332"/>
      <c r="K62" s="56"/>
      <c r="L62" s="56"/>
      <c r="M62" s="55"/>
      <c r="N62" s="55"/>
      <c r="O62" s="87"/>
      <c r="P62" s="87"/>
      <c r="Q62" s="87"/>
      <c r="R62" s="87"/>
      <c r="S62" s="87"/>
      <c r="T62" s="87"/>
      <c r="U62" s="87"/>
      <c r="V62" s="87"/>
      <c r="W62" s="87"/>
      <c r="X62" s="68"/>
      <c r="Y62" s="68"/>
      <c r="Z62" s="68"/>
      <c r="AA62" s="68"/>
      <c r="AB62" s="51"/>
      <c r="AC62" s="93"/>
    </row>
    <row r="63" spans="1:29" ht="57" customHeight="1" thickBot="1" x14ac:dyDescent="0.3">
      <c r="A63" s="131"/>
      <c r="B63" s="132"/>
      <c r="C63" s="330"/>
      <c r="D63" s="333"/>
      <c r="E63" s="336"/>
      <c r="F63" s="336"/>
      <c r="G63" s="339"/>
      <c r="H63" s="342"/>
      <c r="I63" s="336"/>
      <c r="J63" s="333"/>
      <c r="K63" s="39"/>
      <c r="L63" s="39"/>
      <c r="M63" s="60"/>
      <c r="N63" s="60"/>
      <c r="O63" s="88"/>
      <c r="P63" s="88"/>
      <c r="Q63" s="88"/>
      <c r="R63" s="88"/>
      <c r="S63" s="88"/>
      <c r="T63" s="88"/>
      <c r="U63" s="88"/>
      <c r="V63" s="88"/>
      <c r="W63" s="88"/>
      <c r="X63" s="69"/>
      <c r="Y63" s="69"/>
      <c r="Z63" s="69"/>
      <c r="AA63" s="69"/>
      <c r="AB63" s="52"/>
      <c r="AC63" s="94"/>
    </row>
    <row r="64" spans="1:29" ht="57" customHeight="1" thickBot="1" x14ac:dyDescent="0.3">
      <c r="A64" s="127"/>
      <c r="B64" s="138" t="s">
        <v>214</v>
      </c>
      <c r="C64" s="343" t="s">
        <v>215</v>
      </c>
      <c r="D64" s="344"/>
      <c r="E64" s="138"/>
      <c r="F64" s="137"/>
      <c r="G64" s="137"/>
      <c r="H64" s="137"/>
      <c r="I64" s="137"/>
      <c r="J64" s="138"/>
      <c r="K64" s="135"/>
      <c r="L64" s="135"/>
      <c r="M64" s="135"/>
      <c r="N64" s="135"/>
      <c r="O64" s="141"/>
      <c r="P64" s="141"/>
      <c r="Q64" s="141"/>
      <c r="R64" s="141"/>
      <c r="S64" s="141"/>
      <c r="T64" s="141"/>
      <c r="U64" s="141"/>
      <c r="V64" s="141"/>
      <c r="W64" s="141"/>
      <c r="X64" s="142"/>
      <c r="Y64" s="142"/>
      <c r="Z64" s="142"/>
      <c r="AA64" s="142"/>
      <c r="AB64" s="135"/>
      <c r="AC64" s="54"/>
    </row>
    <row r="65" spans="1:29" ht="57" customHeight="1" x14ac:dyDescent="0.25">
      <c r="A65" s="119" t="s">
        <v>216</v>
      </c>
      <c r="B65" s="128" t="s">
        <v>217</v>
      </c>
      <c r="C65" s="328" t="s">
        <v>215</v>
      </c>
      <c r="D65" s="331" t="s">
        <v>218</v>
      </c>
      <c r="E65" s="334"/>
      <c r="F65" s="334"/>
      <c r="G65" s="337" t="s">
        <v>128</v>
      </c>
      <c r="H65" s="340"/>
      <c r="I65" s="334" t="s">
        <v>219</v>
      </c>
      <c r="J65" s="331" t="s">
        <v>220</v>
      </c>
      <c r="K65" s="38"/>
      <c r="L65" s="38"/>
      <c r="M65" s="61"/>
      <c r="N65" s="61"/>
      <c r="O65" s="89"/>
      <c r="P65" s="89"/>
      <c r="Q65" s="89"/>
      <c r="R65" s="89"/>
      <c r="S65" s="89"/>
      <c r="T65" s="89"/>
      <c r="U65" s="89"/>
      <c r="V65" s="89"/>
      <c r="W65" s="89"/>
      <c r="X65" s="70"/>
      <c r="Y65" s="70"/>
      <c r="Z65" s="70"/>
      <c r="AA65" s="70"/>
      <c r="AB65" s="50"/>
      <c r="AC65" s="92"/>
    </row>
    <row r="66" spans="1:29" ht="57" customHeight="1" x14ac:dyDescent="0.25">
      <c r="A66" s="129"/>
      <c r="B66" s="130"/>
      <c r="C66" s="329"/>
      <c r="D66" s="332"/>
      <c r="E66" s="335"/>
      <c r="F66" s="335"/>
      <c r="G66" s="338"/>
      <c r="H66" s="341"/>
      <c r="I66" s="335"/>
      <c r="J66" s="332"/>
      <c r="K66" s="56"/>
      <c r="L66" s="56"/>
      <c r="M66" s="55"/>
      <c r="N66" s="55"/>
      <c r="O66" s="87"/>
      <c r="P66" s="87"/>
      <c r="Q66" s="87"/>
      <c r="R66" s="87"/>
      <c r="S66" s="87"/>
      <c r="T66" s="87"/>
      <c r="U66" s="87"/>
      <c r="V66" s="87"/>
      <c r="W66" s="87"/>
      <c r="X66" s="68"/>
      <c r="Y66" s="68"/>
      <c r="Z66" s="68"/>
      <c r="AA66" s="68"/>
      <c r="AB66" s="51"/>
      <c r="AC66" s="93"/>
    </row>
    <row r="67" spans="1:29" ht="57" customHeight="1" thickBot="1" x14ac:dyDescent="0.3">
      <c r="A67" s="131"/>
      <c r="B67" s="132"/>
      <c r="C67" s="330"/>
      <c r="D67" s="333"/>
      <c r="E67" s="336"/>
      <c r="F67" s="336"/>
      <c r="G67" s="339"/>
      <c r="H67" s="342"/>
      <c r="I67" s="336"/>
      <c r="J67" s="333"/>
      <c r="K67" s="39"/>
      <c r="L67" s="39"/>
      <c r="M67" s="60"/>
      <c r="N67" s="60"/>
      <c r="O67" s="88"/>
      <c r="P67" s="88"/>
      <c r="Q67" s="88"/>
      <c r="R67" s="88"/>
      <c r="S67" s="88"/>
      <c r="T67" s="88"/>
      <c r="U67" s="88"/>
      <c r="V67" s="88"/>
      <c r="W67" s="88"/>
      <c r="X67" s="69"/>
      <c r="Y67" s="69"/>
      <c r="Z67" s="69"/>
      <c r="AA67" s="69"/>
      <c r="AB67" s="52"/>
      <c r="AC67" s="94"/>
    </row>
    <row r="68" spans="1:29" ht="57" customHeight="1" x14ac:dyDescent="0.25">
      <c r="A68" s="119" t="s">
        <v>221</v>
      </c>
      <c r="B68" s="128" t="s">
        <v>222</v>
      </c>
      <c r="C68" s="328" t="s">
        <v>223</v>
      </c>
      <c r="D68" s="331" t="s">
        <v>224</v>
      </c>
      <c r="E68" s="334"/>
      <c r="F68" s="334"/>
      <c r="G68" s="337" t="s">
        <v>128</v>
      </c>
      <c r="H68" s="340"/>
      <c r="I68" s="334" t="s">
        <v>225</v>
      </c>
      <c r="J68" s="331" t="s">
        <v>226</v>
      </c>
      <c r="K68" s="38"/>
      <c r="L68" s="38"/>
      <c r="M68" s="61"/>
      <c r="N68" s="61"/>
      <c r="O68" s="89"/>
      <c r="P68" s="89"/>
      <c r="Q68" s="89"/>
      <c r="R68" s="89"/>
      <c r="S68" s="89"/>
      <c r="T68" s="89"/>
      <c r="U68" s="89"/>
      <c r="V68" s="89"/>
      <c r="W68" s="89"/>
      <c r="X68" s="70"/>
      <c r="Y68" s="70"/>
      <c r="Z68" s="70"/>
      <c r="AA68" s="70"/>
      <c r="AB68" s="50"/>
      <c r="AC68" s="92"/>
    </row>
    <row r="69" spans="1:29" ht="57" customHeight="1" x14ac:dyDescent="0.25">
      <c r="A69" s="129"/>
      <c r="B69" s="130"/>
      <c r="C69" s="329"/>
      <c r="D69" s="332"/>
      <c r="E69" s="335"/>
      <c r="F69" s="335"/>
      <c r="G69" s="338"/>
      <c r="H69" s="341"/>
      <c r="I69" s="335"/>
      <c r="J69" s="332"/>
      <c r="K69" s="56"/>
      <c r="L69" s="56"/>
      <c r="M69" s="55"/>
      <c r="N69" s="55"/>
      <c r="O69" s="87"/>
      <c r="P69" s="87"/>
      <c r="Q69" s="87"/>
      <c r="R69" s="87"/>
      <c r="S69" s="87"/>
      <c r="T69" s="87"/>
      <c r="U69" s="87"/>
      <c r="V69" s="87"/>
      <c r="W69" s="87"/>
      <c r="X69" s="68"/>
      <c r="Y69" s="68"/>
      <c r="Z69" s="68"/>
      <c r="AA69" s="68"/>
      <c r="AB69" s="51"/>
      <c r="AC69" s="93"/>
    </row>
    <row r="70" spans="1:29" ht="57" customHeight="1" thickBot="1" x14ac:dyDescent="0.3">
      <c r="A70" s="131"/>
      <c r="B70" s="132"/>
      <c r="C70" s="330"/>
      <c r="D70" s="333"/>
      <c r="E70" s="336"/>
      <c r="F70" s="336"/>
      <c r="G70" s="339"/>
      <c r="H70" s="342"/>
      <c r="I70" s="336"/>
      <c r="J70" s="333"/>
      <c r="K70" s="39"/>
      <c r="L70" s="39"/>
      <c r="M70" s="60"/>
      <c r="N70" s="60"/>
      <c r="O70" s="88"/>
      <c r="P70" s="88"/>
      <c r="Q70" s="88"/>
      <c r="R70" s="88"/>
      <c r="S70" s="88"/>
      <c r="T70" s="88"/>
      <c r="U70" s="88"/>
      <c r="V70" s="88"/>
      <c r="W70" s="88"/>
      <c r="X70" s="69"/>
      <c r="Y70" s="69"/>
      <c r="Z70" s="69"/>
      <c r="AA70" s="69"/>
      <c r="AB70" s="52"/>
      <c r="AC70" s="94"/>
    </row>
    <row r="71" spans="1:29" ht="57" customHeight="1" thickBot="1" x14ac:dyDescent="0.3">
      <c r="A71" s="125">
        <v>4</v>
      </c>
      <c r="B71" s="143" t="s">
        <v>227</v>
      </c>
      <c r="C71" s="343" t="s">
        <v>228</v>
      </c>
      <c r="D71" s="344"/>
      <c r="E71" s="138"/>
      <c r="F71" s="137"/>
      <c r="G71" s="137"/>
      <c r="H71" s="137"/>
      <c r="I71" s="137"/>
      <c r="J71" s="137"/>
      <c r="K71" s="135"/>
      <c r="L71" s="135"/>
      <c r="M71" s="135"/>
      <c r="N71" s="135"/>
      <c r="O71" s="141"/>
      <c r="P71" s="141"/>
      <c r="Q71" s="141"/>
      <c r="R71" s="141"/>
      <c r="S71" s="141"/>
      <c r="T71" s="141"/>
      <c r="U71" s="141"/>
      <c r="V71" s="141"/>
      <c r="W71" s="141"/>
      <c r="X71" s="142"/>
      <c r="Y71" s="142"/>
      <c r="Z71" s="142"/>
      <c r="AA71" s="142"/>
      <c r="AB71" s="135"/>
      <c r="AC71" s="54"/>
    </row>
    <row r="72" spans="1:29" ht="57" customHeight="1" thickBot="1" x14ac:dyDescent="0.3">
      <c r="A72" s="127"/>
      <c r="B72" s="138" t="s">
        <v>229</v>
      </c>
      <c r="C72" s="343" t="s">
        <v>230</v>
      </c>
      <c r="D72" s="344"/>
      <c r="E72" s="138"/>
      <c r="F72" s="137"/>
      <c r="G72" s="137"/>
      <c r="H72" s="137"/>
      <c r="I72" s="137"/>
      <c r="J72" s="137"/>
      <c r="K72" s="135"/>
      <c r="L72" s="135"/>
      <c r="M72" s="135"/>
      <c r="N72" s="135"/>
      <c r="O72" s="141"/>
      <c r="P72" s="141"/>
      <c r="Q72" s="141"/>
      <c r="R72" s="141"/>
      <c r="S72" s="141"/>
      <c r="T72" s="141"/>
      <c r="U72" s="141"/>
      <c r="V72" s="141"/>
      <c r="W72" s="141"/>
      <c r="X72" s="142"/>
      <c r="Y72" s="142"/>
      <c r="Z72" s="142"/>
      <c r="AA72" s="142"/>
      <c r="AB72" s="135"/>
      <c r="AC72" s="54"/>
    </row>
    <row r="73" spans="1:29" ht="57" customHeight="1" x14ac:dyDescent="0.25">
      <c r="A73" s="119" t="s">
        <v>231</v>
      </c>
      <c r="B73" s="128" t="s">
        <v>232</v>
      </c>
      <c r="C73" s="328" t="s">
        <v>233</v>
      </c>
      <c r="D73" s="331" t="s">
        <v>234</v>
      </c>
      <c r="E73" s="334"/>
      <c r="F73" s="334"/>
      <c r="G73" s="337" t="s">
        <v>128</v>
      </c>
      <c r="H73" s="340"/>
      <c r="I73" s="334" t="s">
        <v>235</v>
      </c>
      <c r="J73" s="331" t="s">
        <v>236</v>
      </c>
      <c r="K73" s="38"/>
      <c r="L73" s="38"/>
      <c r="M73" s="61"/>
      <c r="N73" s="61"/>
      <c r="O73" s="89"/>
      <c r="P73" s="89"/>
      <c r="Q73" s="89"/>
      <c r="R73" s="89"/>
      <c r="S73" s="89"/>
      <c r="T73" s="89"/>
      <c r="U73" s="89"/>
      <c r="V73" s="89"/>
      <c r="W73" s="89"/>
      <c r="X73" s="70"/>
      <c r="Y73" s="70"/>
      <c r="Z73" s="70"/>
      <c r="AA73" s="70"/>
      <c r="AB73" s="50"/>
      <c r="AC73" s="92"/>
    </row>
    <row r="74" spans="1:29" ht="57" customHeight="1" x14ac:dyDescent="0.25">
      <c r="A74" s="129"/>
      <c r="B74" s="130"/>
      <c r="C74" s="329"/>
      <c r="D74" s="332"/>
      <c r="E74" s="335"/>
      <c r="F74" s="335"/>
      <c r="G74" s="338"/>
      <c r="H74" s="341"/>
      <c r="I74" s="335"/>
      <c r="J74" s="332"/>
      <c r="K74" s="56"/>
      <c r="L74" s="56"/>
      <c r="M74" s="55"/>
      <c r="N74" s="55"/>
      <c r="O74" s="87"/>
      <c r="P74" s="87"/>
      <c r="Q74" s="87"/>
      <c r="R74" s="87"/>
      <c r="S74" s="87"/>
      <c r="T74" s="87"/>
      <c r="U74" s="87"/>
      <c r="V74" s="87"/>
      <c r="W74" s="87"/>
      <c r="X74" s="68"/>
      <c r="Y74" s="68"/>
      <c r="Z74" s="68"/>
      <c r="AA74" s="68"/>
      <c r="AB74" s="51"/>
      <c r="AC74" s="93"/>
    </row>
    <row r="75" spans="1:29" ht="57" customHeight="1" thickBot="1" x14ac:dyDescent="0.3">
      <c r="A75" s="131"/>
      <c r="B75" s="132"/>
      <c r="C75" s="330"/>
      <c r="D75" s="333"/>
      <c r="E75" s="336"/>
      <c r="F75" s="336"/>
      <c r="G75" s="339"/>
      <c r="H75" s="342"/>
      <c r="I75" s="336"/>
      <c r="J75" s="333"/>
      <c r="K75" s="39"/>
      <c r="L75" s="39"/>
      <c r="M75" s="60"/>
      <c r="N75" s="60"/>
      <c r="O75" s="88"/>
      <c r="P75" s="88"/>
      <c r="Q75" s="88"/>
      <c r="R75" s="88"/>
      <c r="S75" s="88"/>
      <c r="T75" s="88"/>
      <c r="U75" s="88"/>
      <c r="V75" s="88"/>
      <c r="W75" s="88"/>
      <c r="X75" s="69"/>
      <c r="Y75" s="69"/>
      <c r="Z75" s="69"/>
      <c r="AA75" s="69"/>
      <c r="AB75" s="52"/>
      <c r="AC75" s="94"/>
    </row>
    <row r="76" spans="1:29" ht="57" customHeight="1" x14ac:dyDescent="0.25">
      <c r="A76" s="119" t="s">
        <v>237</v>
      </c>
      <c r="B76" s="128" t="s">
        <v>238</v>
      </c>
      <c r="C76" s="328" t="s">
        <v>239</v>
      </c>
      <c r="D76" s="331" t="s">
        <v>240</v>
      </c>
      <c r="E76" s="334"/>
      <c r="F76" s="334"/>
      <c r="G76" s="337" t="s">
        <v>128</v>
      </c>
      <c r="H76" s="340"/>
      <c r="I76" s="334" t="s">
        <v>241</v>
      </c>
      <c r="J76" s="331" t="s">
        <v>242</v>
      </c>
      <c r="K76" s="38"/>
      <c r="L76" s="38"/>
      <c r="M76" s="61"/>
      <c r="N76" s="61"/>
      <c r="O76" s="89"/>
      <c r="P76" s="89"/>
      <c r="Q76" s="89"/>
      <c r="R76" s="89"/>
      <c r="S76" s="89"/>
      <c r="T76" s="89"/>
      <c r="U76" s="89"/>
      <c r="V76" s="89"/>
      <c r="W76" s="89"/>
      <c r="X76" s="70"/>
      <c r="Y76" s="70"/>
      <c r="Z76" s="70"/>
      <c r="AA76" s="70"/>
      <c r="AB76" s="50"/>
      <c r="AC76" s="92"/>
    </row>
    <row r="77" spans="1:29" ht="57" customHeight="1" x14ac:dyDescent="0.25">
      <c r="A77" s="129"/>
      <c r="B77" s="130"/>
      <c r="C77" s="329"/>
      <c r="D77" s="332"/>
      <c r="E77" s="335"/>
      <c r="F77" s="335"/>
      <c r="G77" s="338"/>
      <c r="H77" s="341"/>
      <c r="I77" s="335"/>
      <c r="J77" s="332"/>
      <c r="K77" s="56"/>
      <c r="L77" s="56"/>
      <c r="M77" s="55"/>
      <c r="N77" s="55"/>
      <c r="O77" s="87"/>
      <c r="P77" s="87"/>
      <c r="Q77" s="87"/>
      <c r="R77" s="87"/>
      <c r="S77" s="87"/>
      <c r="T77" s="87"/>
      <c r="U77" s="87"/>
      <c r="V77" s="87"/>
      <c r="W77" s="87"/>
      <c r="X77" s="68"/>
      <c r="Y77" s="68"/>
      <c r="Z77" s="68"/>
      <c r="AA77" s="68"/>
      <c r="AB77" s="51"/>
      <c r="AC77" s="93"/>
    </row>
    <row r="78" spans="1:29" ht="57" customHeight="1" thickBot="1" x14ac:dyDescent="0.3">
      <c r="A78" s="131"/>
      <c r="B78" s="132"/>
      <c r="C78" s="330"/>
      <c r="D78" s="333"/>
      <c r="E78" s="336"/>
      <c r="F78" s="336"/>
      <c r="G78" s="339"/>
      <c r="H78" s="342"/>
      <c r="I78" s="336"/>
      <c r="J78" s="333"/>
      <c r="K78" s="39"/>
      <c r="L78" s="39"/>
      <c r="M78" s="60"/>
      <c r="N78" s="60"/>
      <c r="O78" s="88"/>
      <c r="P78" s="88"/>
      <c r="Q78" s="88"/>
      <c r="R78" s="88"/>
      <c r="S78" s="88"/>
      <c r="T78" s="88"/>
      <c r="U78" s="88"/>
      <c r="V78" s="88"/>
      <c r="W78" s="88"/>
      <c r="X78" s="69"/>
      <c r="Y78" s="69"/>
      <c r="Z78" s="69"/>
      <c r="AA78" s="69"/>
      <c r="AB78" s="52"/>
      <c r="AC78" s="94"/>
    </row>
    <row r="79" spans="1:29" ht="57" customHeight="1" x14ac:dyDescent="0.25">
      <c r="A79" s="119" t="s">
        <v>243</v>
      </c>
      <c r="B79" s="128" t="s">
        <v>244</v>
      </c>
      <c r="C79" s="328" t="s">
        <v>245</v>
      </c>
      <c r="D79" s="331" t="s">
        <v>246</v>
      </c>
      <c r="E79" s="334" t="s">
        <v>247</v>
      </c>
      <c r="F79" s="334" t="s">
        <v>247</v>
      </c>
      <c r="G79" s="337" t="s">
        <v>128</v>
      </c>
      <c r="H79" s="340"/>
      <c r="I79" s="334" t="s">
        <v>241</v>
      </c>
      <c r="J79" s="331" t="s">
        <v>248</v>
      </c>
      <c r="K79" s="38"/>
      <c r="L79" s="38"/>
      <c r="M79" s="61"/>
      <c r="N79" s="61"/>
      <c r="O79" s="89"/>
      <c r="P79" s="89"/>
      <c r="Q79" s="89"/>
      <c r="R79" s="89"/>
      <c r="S79" s="89"/>
      <c r="T79" s="89"/>
      <c r="U79" s="89"/>
      <c r="V79" s="89"/>
      <c r="W79" s="89"/>
      <c r="X79" s="70"/>
      <c r="Y79" s="70"/>
      <c r="Z79" s="70"/>
      <c r="AA79" s="70"/>
      <c r="AB79" s="50"/>
      <c r="AC79" s="92"/>
    </row>
    <row r="80" spans="1:29" ht="57" customHeight="1" x14ac:dyDescent="0.25">
      <c r="A80" s="129"/>
      <c r="B80" s="130"/>
      <c r="C80" s="329"/>
      <c r="D80" s="332"/>
      <c r="E80" s="335"/>
      <c r="F80" s="335"/>
      <c r="G80" s="338"/>
      <c r="H80" s="341"/>
      <c r="I80" s="335"/>
      <c r="J80" s="332"/>
      <c r="K80" s="56"/>
      <c r="L80" s="56"/>
      <c r="M80" s="55"/>
      <c r="N80" s="55"/>
      <c r="O80" s="87"/>
      <c r="P80" s="87"/>
      <c r="Q80" s="87"/>
      <c r="R80" s="87"/>
      <c r="S80" s="87"/>
      <c r="T80" s="87"/>
      <c r="U80" s="87"/>
      <c r="V80" s="87"/>
      <c r="W80" s="87"/>
      <c r="X80" s="68"/>
      <c r="Y80" s="68"/>
      <c r="Z80" s="68"/>
      <c r="AA80" s="68"/>
      <c r="AB80" s="51"/>
      <c r="AC80" s="93"/>
    </row>
    <row r="81" spans="1:29" ht="57" customHeight="1" thickBot="1" x14ac:dyDescent="0.3">
      <c r="A81" s="131"/>
      <c r="B81" s="132"/>
      <c r="C81" s="330"/>
      <c r="D81" s="333"/>
      <c r="E81" s="336"/>
      <c r="F81" s="336"/>
      <c r="G81" s="339"/>
      <c r="H81" s="342"/>
      <c r="I81" s="336"/>
      <c r="J81" s="333"/>
      <c r="K81" s="39"/>
      <c r="L81" s="39"/>
      <c r="M81" s="60"/>
      <c r="N81" s="60"/>
      <c r="O81" s="88"/>
      <c r="P81" s="88"/>
      <c r="Q81" s="88"/>
      <c r="R81" s="88"/>
      <c r="S81" s="88"/>
      <c r="T81" s="88"/>
      <c r="U81" s="88"/>
      <c r="V81" s="88"/>
      <c r="W81" s="88"/>
      <c r="X81" s="69"/>
      <c r="Y81" s="69"/>
      <c r="Z81" s="69"/>
      <c r="AA81" s="69"/>
      <c r="AB81" s="52"/>
      <c r="AC81" s="94"/>
    </row>
    <row r="82" spans="1:29" ht="57" customHeight="1" thickBot="1" x14ac:dyDescent="0.3">
      <c r="A82" s="127"/>
      <c r="B82" s="133" t="s">
        <v>249</v>
      </c>
      <c r="C82" s="359" t="s">
        <v>250</v>
      </c>
      <c r="D82" s="348"/>
      <c r="E82" s="137"/>
      <c r="F82" s="138"/>
      <c r="G82" s="138"/>
      <c r="H82" s="138"/>
      <c r="I82" s="138"/>
      <c r="J82" s="138"/>
      <c r="K82" s="135"/>
      <c r="L82" s="135"/>
      <c r="M82" s="135"/>
      <c r="N82" s="135"/>
      <c r="O82" s="141"/>
      <c r="P82" s="141"/>
      <c r="Q82" s="141"/>
      <c r="R82" s="141"/>
      <c r="S82" s="141"/>
      <c r="T82" s="141"/>
      <c r="U82" s="141"/>
      <c r="V82" s="141"/>
      <c r="W82" s="141"/>
      <c r="X82" s="142"/>
      <c r="Y82" s="142"/>
      <c r="Z82" s="142"/>
      <c r="AA82" s="142"/>
      <c r="AB82" s="135"/>
      <c r="AC82" s="54"/>
    </row>
    <row r="83" spans="1:29" ht="57" customHeight="1" x14ac:dyDescent="0.25">
      <c r="A83" s="119" t="s">
        <v>251</v>
      </c>
      <c r="B83" s="128" t="s">
        <v>252</v>
      </c>
      <c r="C83" s="328" t="s">
        <v>253</v>
      </c>
      <c r="D83" s="331" t="s">
        <v>254</v>
      </c>
      <c r="E83" s="334"/>
      <c r="F83" s="334"/>
      <c r="G83" s="337" t="s">
        <v>128</v>
      </c>
      <c r="H83" s="340"/>
      <c r="I83" s="334" t="s">
        <v>255</v>
      </c>
      <c r="J83" s="331" t="s">
        <v>256</v>
      </c>
      <c r="K83" s="38"/>
      <c r="L83" s="38"/>
      <c r="M83" s="61"/>
      <c r="N83" s="61"/>
      <c r="O83" s="89"/>
      <c r="P83" s="89"/>
      <c r="Q83" s="89"/>
      <c r="R83" s="89"/>
      <c r="S83" s="89"/>
      <c r="T83" s="89"/>
      <c r="U83" s="89"/>
      <c r="V83" s="89"/>
      <c r="W83" s="89"/>
      <c r="X83" s="70"/>
      <c r="Y83" s="70"/>
      <c r="Z83" s="70"/>
      <c r="AA83" s="70"/>
      <c r="AB83" s="50"/>
      <c r="AC83" s="92"/>
    </row>
    <row r="84" spans="1:29" ht="57" customHeight="1" x14ac:dyDescent="0.25">
      <c r="A84" s="129"/>
      <c r="B84" s="130"/>
      <c r="C84" s="329"/>
      <c r="D84" s="332"/>
      <c r="E84" s="335"/>
      <c r="F84" s="335"/>
      <c r="G84" s="338"/>
      <c r="H84" s="341"/>
      <c r="I84" s="335"/>
      <c r="J84" s="332"/>
      <c r="K84" s="56"/>
      <c r="L84" s="56"/>
      <c r="M84" s="55"/>
      <c r="N84" s="55"/>
      <c r="O84" s="87"/>
      <c r="P84" s="87"/>
      <c r="Q84" s="87"/>
      <c r="R84" s="87"/>
      <c r="S84" s="87"/>
      <c r="T84" s="87"/>
      <c r="U84" s="87"/>
      <c r="V84" s="87"/>
      <c r="W84" s="87"/>
      <c r="X84" s="68"/>
      <c r="Y84" s="68"/>
      <c r="Z84" s="68"/>
      <c r="AA84" s="68"/>
      <c r="AB84" s="51"/>
      <c r="AC84" s="93"/>
    </row>
    <row r="85" spans="1:29" ht="57" customHeight="1" thickBot="1" x14ac:dyDescent="0.3">
      <c r="A85" s="131"/>
      <c r="B85" s="132"/>
      <c r="C85" s="330"/>
      <c r="D85" s="333"/>
      <c r="E85" s="336"/>
      <c r="F85" s="336"/>
      <c r="G85" s="339"/>
      <c r="H85" s="342"/>
      <c r="I85" s="336"/>
      <c r="J85" s="333"/>
      <c r="K85" s="39"/>
      <c r="L85" s="39"/>
      <c r="M85" s="60"/>
      <c r="N85" s="60"/>
      <c r="O85" s="88"/>
      <c r="P85" s="88"/>
      <c r="Q85" s="88"/>
      <c r="R85" s="88"/>
      <c r="S85" s="88"/>
      <c r="T85" s="88"/>
      <c r="U85" s="88"/>
      <c r="V85" s="88"/>
      <c r="W85" s="88"/>
      <c r="X85" s="69"/>
      <c r="Y85" s="69"/>
      <c r="Z85" s="69"/>
      <c r="AA85" s="69"/>
      <c r="AB85" s="52"/>
      <c r="AC85" s="94"/>
    </row>
    <row r="86" spans="1:29" ht="57" customHeight="1" x14ac:dyDescent="0.25">
      <c r="A86" s="119" t="s">
        <v>257</v>
      </c>
      <c r="B86" s="128" t="s">
        <v>258</v>
      </c>
      <c r="C86" s="328" t="s">
        <v>259</v>
      </c>
      <c r="D86" s="331" t="s">
        <v>260</v>
      </c>
      <c r="E86" s="334" t="s">
        <v>261</v>
      </c>
      <c r="F86" s="334" t="s">
        <v>261</v>
      </c>
      <c r="G86" s="337" t="s">
        <v>128</v>
      </c>
      <c r="H86" s="340"/>
      <c r="I86" s="334" t="s">
        <v>262</v>
      </c>
      <c r="J86" s="331" t="s">
        <v>259</v>
      </c>
      <c r="K86" s="38"/>
      <c r="L86" s="38"/>
      <c r="M86" s="61"/>
      <c r="N86" s="61"/>
      <c r="O86" s="89"/>
      <c r="P86" s="89"/>
      <c r="Q86" s="89"/>
      <c r="R86" s="89"/>
      <c r="S86" s="89"/>
      <c r="T86" s="89"/>
      <c r="U86" s="89"/>
      <c r="V86" s="89"/>
      <c r="W86" s="89"/>
      <c r="X86" s="70"/>
      <c r="Y86" s="70"/>
      <c r="Z86" s="70"/>
      <c r="AA86" s="70"/>
      <c r="AB86" s="50"/>
      <c r="AC86" s="92"/>
    </row>
    <row r="87" spans="1:29" ht="57" customHeight="1" x14ac:dyDescent="0.25">
      <c r="A87" s="129"/>
      <c r="B87" s="130"/>
      <c r="C87" s="329"/>
      <c r="D87" s="332"/>
      <c r="E87" s="335"/>
      <c r="F87" s="335"/>
      <c r="G87" s="338"/>
      <c r="H87" s="341"/>
      <c r="I87" s="335"/>
      <c r="J87" s="332"/>
      <c r="K87" s="56"/>
      <c r="L87" s="56"/>
      <c r="M87" s="55"/>
      <c r="N87" s="55"/>
      <c r="O87" s="87"/>
      <c r="P87" s="87"/>
      <c r="Q87" s="87"/>
      <c r="R87" s="87"/>
      <c r="S87" s="87"/>
      <c r="T87" s="87"/>
      <c r="U87" s="87"/>
      <c r="V87" s="87"/>
      <c r="W87" s="87"/>
      <c r="X87" s="68"/>
      <c r="Y87" s="68"/>
      <c r="Z87" s="68"/>
      <c r="AA87" s="68"/>
      <c r="AB87" s="51"/>
      <c r="AC87" s="93"/>
    </row>
    <row r="88" spans="1:29" ht="57" customHeight="1" thickBot="1" x14ac:dyDescent="0.3">
      <c r="A88" s="131"/>
      <c r="B88" s="132"/>
      <c r="C88" s="330"/>
      <c r="D88" s="333"/>
      <c r="E88" s="336"/>
      <c r="F88" s="336"/>
      <c r="G88" s="339"/>
      <c r="H88" s="342"/>
      <c r="I88" s="336"/>
      <c r="J88" s="333"/>
      <c r="K88" s="39"/>
      <c r="L88" s="39"/>
      <c r="M88" s="60"/>
      <c r="N88" s="60"/>
      <c r="O88" s="88"/>
      <c r="P88" s="88"/>
      <c r="Q88" s="88"/>
      <c r="R88" s="88"/>
      <c r="S88" s="88"/>
      <c r="T88" s="88"/>
      <c r="U88" s="88"/>
      <c r="V88" s="88"/>
      <c r="W88" s="88"/>
      <c r="X88" s="69"/>
      <c r="Y88" s="69"/>
      <c r="Z88" s="69"/>
      <c r="AA88" s="69"/>
      <c r="AB88" s="52"/>
      <c r="AC88" s="94"/>
    </row>
    <row r="89" spans="1:29" ht="57" customHeight="1" x14ac:dyDescent="0.25">
      <c r="A89" s="119" t="s">
        <v>263</v>
      </c>
      <c r="B89" s="128" t="s">
        <v>264</v>
      </c>
      <c r="C89" s="328" t="s">
        <v>265</v>
      </c>
      <c r="D89" s="331" t="s">
        <v>266</v>
      </c>
      <c r="E89" s="334"/>
      <c r="F89" s="334"/>
      <c r="G89" s="337" t="s">
        <v>128</v>
      </c>
      <c r="H89" s="340"/>
      <c r="I89" s="334" t="s">
        <v>267</v>
      </c>
      <c r="J89" s="331" t="s">
        <v>265</v>
      </c>
      <c r="K89" s="38"/>
      <c r="L89" s="38"/>
      <c r="M89" s="61"/>
      <c r="N89" s="61"/>
      <c r="O89" s="89"/>
      <c r="P89" s="89"/>
      <c r="Q89" s="89"/>
      <c r="R89" s="89"/>
      <c r="S89" s="89"/>
      <c r="T89" s="89"/>
      <c r="U89" s="89"/>
      <c r="V89" s="89"/>
      <c r="W89" s="89"/>
      <c r="X89" s="70"/>
      <c r="Y89" s="70"/>
      <c r="Z89" s="70"/>
      <c r="AA89" s="70"/>
      <c r="AB89" s="50"/>
      <c r="AC89" s="92"/>
    </row>
    <row r="90" spans="1:29" ht="57" customHeight="1" x14ac:dyDescent="0.25">
      <c r="A90" s="129"/>
      <c r="B90" s="130"/>
      <c r="C90" s="329"/>
      <c r="D90" s="332"/>
      <c r="E90" s="335"/>
      <c r="F90" s="335"/>
      <c r="G90" s="338"/>
      <c r="H90" s="341"/>
      <c r="I90" s="335"/>
      <c r="J90" s="332"/>
      <c r="K90" s="56"/>
      <c r="L90" s="56"/>
      <c r="M90" s="55"/>
      <c r="N90" s="55"/>
      <c r="O90" s="87"/>
      <c r="P90" s="87"/>
      <c r="Q90" s="87"/>
      <c r="R90" s="87"/>
      <c r="S90" s="87"/>
      <c r="T90" s="87"/>
      <c r="U90" s="87"/>
      <c r="V90" s="87"/>
      <c r="W90" s="87"/>
      <c r="X90" s="68"/>
      <c r="Y90" s="68"/>
      <c r="Z90" s="68"/>
      <c r="AA90" s="68"/>
      <c r="AB90" s="51"/>
      <c r="AC90" s="93"/>
    </row>
    <row r="91" spans="1:29" ht="57" customHeight="1" thickBot="1" x14ac:dyDescent="0.3">
      <c r="A91" s="131"/>
      <c r="B91" s="132"/>
      <c r="C91" s="330"/>
      <c r="D91" s="333"/>
      <c r="E91" s="336"/>
      <c r="F91" s="336"/>
      <c r="G91" s="339"/>
      <c r="H91" s="342"/>
      <c r="I91" s="336"/>
      <c r="J91" s="333"/>
      <c r="K91" s="39"/>
      <c r="L91" s="39"/>
      <c r="M91" s="60"/>
      <c r="N91" s="60"/>
      <c r="O91" s="88"/>
      <c r="P91" s="88"/>
      <c r="Q91" s="88"/>
      <c r="R91" s="88"/>
      <c r="S91" s="88"/>
      <c r="T91" s="88"/>
      <c r="U91" s="88"/>
      <c r="V91" s="88"/>
      <c r="W91" s="88"/>
      <c r="X91" s="69"/>
      <c r="Y91" s="69"/>
      <c r="Z91" s="69"/>
      <c r="AA91" s="69"/>
      <c r="AB91" s="52"/>
      <c r="AC91" s="94"/>
    </row>
    <row r="92" spans="1:29" ht="57" customHeight="1" x14ac:dyDescent="0.25">
      <c r="A92" s="119" t="s">
        <v>268</v>
      </c>
      <c r="B92" s="128" t="s">
        <v>269</v>
      </c>
      <c r="C92" s="328" t="s">
        <v>270</v>
      </c>
      <c r="D92" s="331" t="s">
        <v>271</v>
      </c>
      <c r="E92" s="334"/>
      <c r="F92" s="334"/>
      <c r="G92" s="337" t="s">
        <v>128</v>
      </c>
      <c r="H92" s="340"/>
      <c r="I92" s="334" t="s">
        <v>267</v>
      </c>
      <c r="J92" s="331" t="s">
        <v>270</v>
      </c>
      <c r="K92" s="38"/>
      <c r="L92" s="38"/>
      <c r="M92" s="61"/>
      <c r="N92" s="61"/>
      <c r="O92" s="89"/>
      <c r="P92" s="89"/>
      <c r="Q92" s="89"/>
      <c r="R92" s="89"/>
      <c r="S92" s="89"/>
      <c r="T92" s="89"/>
      <c r="U92" s="89"/>
      <c r="V92" s="89"/>
      <c r="W92" s="89"/>
      <c r="X92" s="70"/>
      <c r="Y92" s="70"/>
      <c r="Z92" s="70"/>
      <c r="AA92" s="70"/>
      <c r="AB92" s="50"/>
      <c r="AC92" s="92"/>
    </row>
    <row r="93" spans="1:29" ht="57" customHeight="1" x14ac:dyDescent="0.25">
      <c r="A93" s="129"/>
      <c r="B93" s="130"/>
      <c r="C93" s="329"/>
      <c r="D93" s="332"/>
      <c r="E93" s="335"/>
      <c r="F93" s="335"/>
      <c r="G93" s="338"/>
      <c r="H93" s="341"/>
      <c r="I93" s="335"/>
      <c r="J93" s="332"/>
      <c r="K93" s="56"/>
      <c r="L93" s="56"/>
      <c r="M93" s="55"/>
      <c r="N93" s="55"/>
      <c r="O93" s="87"/>
      <c r="P93" s="87"/>
      <c r="Q93" s="87"/>
      <c r="R93" s="87"/>
      <c r="S93" s="87"/>
      <c r="T93" s="87"/>
      <c r="U93" s="87"/>
      <c r="V93" s="87"/>
      <c r="W93" s="87"/>
      <c r="X93" s="68"/>
      <c r="Y93" s="68"/>
      <c r="Z93" s="68"/>
      <c r="AA93" s="68"/>
      <c r="AB93" s="51"/>
      <c r="AC93" s="93"/>
    </row>
    <row r="94" spans="1:29" ht="57" customHeight="1" thickBot="1" x14ac:dyDescent="0.3">
      <c r="A94" s="131"/>
      <c r="B94" s="132"/>
      <c r="C94" s="330"/>
      <c r="D94" s="333"/>
      <c r="E94" s="336"/>
      <c r="F94" s="336"/>
      <c r="G94" s="339"/>
      <c r="H94" s="342"/>
      <c r="I94" s="336"/>
      <c r="J94" s="333"/>
      <c r="K94" s="39"/>
      <c r="L94" s="39"/>
      <c r="M94" s="60"/>
      <c r="N94" s="60"/>
      <c r="O94" s="88"/>
      <c r="P94" s="88"/>
      <c r="Q94" s="88"/>
      <c r="R94" s="88"/>
      <c r="S94" s="88"/>
      <c r="T94" s="88"/>
      <c r="U94" s="88"/>
      <c r="V94" s="88"/>
      <c r="W94" s="88"/>
      <c r="X94" s="69"/>
      <c r="Y94" s="69"/>
      <c r="Z94" s="69"/>
      <c r="AA94" s="69"/>
      <c r="AB94" s="52"/>
      <c r="AC94" s="94"/>
    </row>
    <row r="95" spans="1:29" ht="57" customHeight="1" x14ac:dyDescent="0.25">
      <c r="A95" s="119" t="s">
        <v>272</v>
      </c>
      <c r="B95" s="128" t="s">
        <v>273</v>
      </c>
      <c r="C95" s="328" t="s">
        <v>274</v>
      </c>
      <c r="D95" s="331" t="s">
        <v>275</v>
      </c>
      <c r="E95" s="334"/>
      <c r="F95" s="334"/>
      <c r="G95" s="337" t="s">
        <v>128</v>
      </c>
      <c r="H95" s="340"/>
      <c r="I95" s="334" t="s">
        <v>276</v>
      </c>
      <c r="J95" s="331" t="s">
        <v>277</v>
      </c>
      <c r="K95" s="38"/>
      <c r="L95" s="38"/>
      <c r="M95" s="61"/>
      <c r="N95" s="61"/>
      <c r="O95" s="89"/>
      <c r="P95" s="89"/>
      <c r="Q95" s="89"/>
      <c r="R95" s="89"/>
      <c r="S95" s="89"/>
      <c r="T95" s="89"/>
      <c r="U95" s="89"/>
      <c r="V95" s="89"/>
      <c r="W95" s="89"/>
      <c r="X95" s="70"/>
      <c r="Y95" s="70"/>
      <c r="Z95" s="70"/>
      <c r="AA95" s="70"/>
      <c r="AB95" s="50" t="s">
        <v>278</v>
      </c>
      <c r="AC95" s="92"/>
    </row>
    <row r="96" spans="1:29" ht="57" customHeight="1" x14ac:dyDescent="0.25">
      <c r="A96" s="129"/>
      <c r="B96" s="130"/>
      <c r="C96" s="329"/>
      <c r="D96" s="332"/>
      <c r="E96" s="335"/>
      <c r="F96" s="335"/>
      <c r="G96" s="338"/>
      <c r="H96" s="341"/>
      <c r="I96" s="335"/>
      <c r="J96" s="332"/>
      <c r="K96" s="56"/>
      <c r="L96" s="56"/>
      <c r="M96" s="55"/>
      <c r="N96" s="55"/>
      <c r="O96" s="87"/>
      <c r="P96" s="87"/>
      <c r="Q96" s="87"/>
      <c r="R96" s="87"/>
      <c r="S96" s="87"/>
      <c r="T96" s="87"/>
      <c r="U96" s="87"/>
      <c r="V96" s="87"/>
      <c r="W96" s="87"/>
      <c r="X96" s="68"/>
      <c r="Y96" s="68"/>
      <c r="Z96" s="68"/>
      <c r="AA96" s="68"/>
      <c r="AB96" s="51"/>
      <c r="AC96" s="93"/>
    </row>
    <row r="97" spans="1:29" ht="81.650000000000006" customHeight="1" thickBot="1" x14ac:dyDescent="0.3">
      <c r="A97" s="131"/>
      <c r="B97" s="132"/>
      <c r="C97" s="330"/>
      <c r="D97" s="333"/>
      <c r="E97" s="336"/>
      <c r="F97" s="336"/>
      <c r="G97" s="339"/>
      <c r="H97" s="342"/>
      <c r="I97" s="336"/>
      <c r="J97" s="333"/>
      <c r="K97" s="39"/>
      <c r="L97" s="39"/>
      <c r="M97" s="60"/>
      <c r="N97" s="60"/>
      <c r="O97" s="88"/>
      <c r="P97" s="88"/>
      <c r="Q97" s="88"/>
      <c r="R97" s="88"/>
      <c r="S97" s="88"/>
      <c r="T97" s="88"/>
      <c r="U97" s="88"/>
      <c r="V97" s="88"/>
      <c r="W97" s="88"/>
      <c r="X97" s="69"/>
      <c r="Y97" s="69"/>
      <c r="Z97" s="69"/>
      <c r="AA97" s="69"/>
      <c r="AB97" s="52"/>
      <c r="AC97" s="94"/>
    </row>
    <row r="98" spans="1:29" ht="57" customHeight="1" x14ac:dyDescent="0.25">
      <c r="A98" s="119" t="s">
        <v>279</v>
      </c>
      <c r="B98" s="128" t="s">
        <v>280</v>
      </c>
      <c r="C98" s="328" t="s">
        <v>281</v>
      </c>
      <c r="D98" s="331" t="s">
        <v>282</v>
      </c>
      <c r="E98" s="334"/>
      <c r="F98" s="334"/>
      <c r="G98" s="337" t="s">
        <v>128</v>
      </c>
      <c r="H98" s="340"/>
      <c r="I98" s="334" t="s">
        <v>283</v>
      </c>
      <c r="J98" s="331" t="s">
        <v>284</v>
      </c>
      <c r="K98" s="38"/>
      <c r="L98" s="38"/>
      <c r="M98" s="61"/>
      <c r="N98" s="61"/>
      <c r="O98" s="89"/>
      <c r="P98" s="89"/>
      <c r="Q98" s="89"/>
      <c r="R98" s="89"/>
      <c r="S98" s="89"/>
      <c r="T98" s="89"/>
      <c r="U98" s="89"/>
      <c r="V98" s="89"/>
      <c r="W98" s="89"/>
      <c r="X98" s="70"/>
      <c r="Y98" s="70"/>
      <c r="Z98" s="70"/>
      <c r="AA98" s="70"/>
      <c r="AB98" s="50"/>
      <c r="AC98" s="92"/>
    </row>
    <row r="99" spans="1:29" ht="57" customHeight="1" x14ac:dyDescent="0.25">
      <c r="A99" s="129"/>
      <c r="B99" s="130"/>
      <c r="C99" s="329"/>
      <c r="D99" s="332"/>
      <c r="E99" s="335"/>
      <c r="F99" s="335"/>
      <c r="G99" s="338"/>
      <c r="H99" s="341"/>
      <c r="I99" s="335"/>
      <c r="J99" s="332"/>
      <c r="K99" s="56"/>
      <c r="L99" s="56"/>
      <c r="M99" s="55"/>
      <c r="N99" s="55"/>
      <c r="O99" s="87"/>
      <c r="P99" s="87"/>
      <c r="Q99" s="87"/>
      <c r="R99" s="87"/>
      <c r="S99" s="87"/>
      <c r="T99" s="87"/>
      <c r="U99" s="87"/>
      <c r="V99" s="87"/>
      <c r="W99" s="87"/>
      <c r="X99" s="68"/>
      <c r="Y99" s="68"/>
      <c r="Z99" s="68"/>
      <c r="AA99" s="68"/>
      <c r="AB99" s="51"/>
      <c r="AC99" s="93"/>
    </row>
    <row r="100" spans="1:29" ht="57" customHeight="1" thickBot="1" x14ac:dyDescent="0.3">
      <c r="A100" s="131"/>
      <c r="B100" s="132"/>
      <c r="C100" s="330"/>
      <c r="D100" s="333"/>
      <c r="E100" s="336"/>
      <c r="F100" s="336"/>
      <c r="G100" s="339"/>
      <c r="H100" s="342"/>
      <c r="I100" s="336"/>
      <c r="J100" s="333"/>
      <c r="K100" s="39"/>
      <c r="L100" s="39"/>
      <c r="M100" s="60"/>
      <c r="N100" s="60"/>
      <c r="O100" s="88"/>
      <c r="P100" s="88"/>
      <c r="Q100" s="88"/>
      <c r="R100" s="88"/>
      <c r="S100" s="88"/>
      <c r="T100" s="88"/>
      <c r="U100" s="88"/>
      <c r="V100" s="88"/>
      <c r="W100" s="88"/>
      <c r="X100" s="69"/>
      <c r="Y100" s="69"/>
      <c r="Z100" s="69"/>
      <c r="AA100" s="69"/>
      <c r="AB100" s="52"/>
      <c r="AC100" s="94"/>
    </row>
    <row r="101" spans="1:29" ht="57" customHeight="1" x14ac:dyDescent="0.25">
      <c r="A101" s="119" t="s">
        <v>285</v>
      </c>
      <c r="B101" s="128" t="s">
        <v>286</v>
      </c>
      <c r="C101" s="328" t="s">
        <v>287</v>
      </c>
      <c r="D101" s="331" t="s">
        <v>288</v>
      </c>
      <c r="E101" s="334"/>
      <c r="F101" s="334"/>
      <c r="G101" s="337" t="s">
        <v>128</v>
      </c>
      <c r="H101" s="340"/>
      <c r="I101" s="334" t="s">
        <v>289</v>
      </c>
      <c r="J101" s="331" t="s">
        <v>290</v>
      </c>
      <c r="K101" s="38"/>
      <c r="L101" s="38"/>
      <c r="M101" s="61"/>
      <c r="N101" s="61"/>
      <c r="O101" s="89"/>
      <c r="P101" s="89"/>
      <c r="Q101" s="89"/>
      <c r="R101" s="89"/>
      <c r="S101" s="89"/>
      <c r="T101" s="89"/>
      <c r="U101" s="89"/>
      <c r="V101" s="89"/>
      <c r="W101" s="89"/>
      <c r="X101" s="70"/>
      <c r="Y101" s="70"/>
      <c r="Z101" s="70"/>
      <c r="AA101" s="70"/>
      <c r="AB101" s="50"/>
      <c r="AC101" s="92"/>
    </row>
    <row r="102" spans="1:29" ht="57" customHeight="1" x14ac:dyDescent="0.25">
      <c r="A102" s="129"/>
      <c r="B102" s="130"/>
      <c r="C102" s="329"/>
      <c r="D102" s="332"/>
      <c r="E102" s="335"/>
      <c r="F102" s="335"/>
      <c r="G102" s="338"/>
      <c r="H102" s="341"/>
      <c r="I102" s="335"/>
      <c r="J102" s="332"/>
      <c r="K102" s="56"/>
      <c r="L102" s="56"/>
      <c r="M102" s="55"/>
      <c r="N102" s="55"/>
      <c r="O102" s="87"/>
      <c r="P102" s="87"/>
      <c r="Q102" s="87"/>
      <c r="R102" s="87"/>
      <c r="S102" s="87"/>
      <c r="T102" s="87"/>
      <c r="U102" s="87"/>
      <c r="V102" s="87"/>
      <c r="W102" s="87"/>
      <c r="X102" s="68"/>
      <c r="Y102" s="68"/>
      <c r="Z102" s="68"/>
      <c r="AA102" s="68"/>
      <c r="AB102" s="51"/>
      <c r="AC102" s="93"/>
    </row>
    <row r="103" spans="1:29" ht="57" customHeight="1" thickBot="1" x14ac:dyDescent="0.3">
      <c r="A103" s="131"/>
      <c r="B103" s="132"/>
      <c r="C103" s="330"/>
      <c r="D103" s="333"/>
      <c r="E103" s="336"/>
      <c r="F103" s="336"/>
      <c r="G103" s="339"/>
      <c r="H103" s="342"/>
      <c r="I103" s="336"/>
      <c r="J103" s="333"/>
      <c r="K103" s="39"/>
      <c r="L103" s="39"/>
      <c r="M103" s="60"/>
      <c r="N103" s="60"/>
      <c r="O103" s="88"/>
      <c r="P103" s="88"/>
      <c r="Q103" s="88"/>
      <c r="R103" s="88"/>
      <c r="S103" s="88"/>
      <c r="T103" s="88"/>
      <c r="U103" s="88"/>
      <c r="V103" s="88"/>
      <c r="W103" s="88"/>
      <c r="X103" s="69"/>
      <c r="Y103" s="69"/>
      <c r="Z103" s="69"/>
      <c r="AA103" s="69"/>
      <c r="AB103" s="52"/>
      <c r="AC103" s="94"/>
    </row>
    <row r="104" spans="1:29" ht="57" customHeight="1" x14ac:dyDescent="0.25">
      <c r="A104" s="119" t="s">
        <v>291</v>
      </c>
      <c r="B104" s="128" t="s">
        <v>286</v>
      </c>
      <c r="C104" s="328" t="s">
        <v>292</v>
      </c>
      <c r="D104" s="331" t="s">
        <v>288</v>
      </c>
      <c r="E104" s="334"/>
      <c r="F104" s="334"/>
      <c r="G104" s="337" t="s">
        <v>128</v>
      </c>
      <c r="H104" s="340"/>
      <c r="I104" s="334" t="s">
        <v>293</v>
      </c>
      <c r="J104" s="331" t="s">
        <v>290</v>
      </c>
      <c r="K104" s="38"/>
      <c r="L104" s="38"/>
      <c r="M104" s="61"/>
      <c r="N104" s="61"/>
      <c r="O104" s="89"/>
      <c r="P104" s="89"/>
      <c r="Q104" s="89"/>
      <c r="R104" s="89"/>
      <c r="S104" s="89"/>
      <c r="T104" s="89"/>
      <c r="U104" s="89"/>
      <c r="V104" s="89"/>
      <c r="W104" s="89"/>
      <c r="X104" s="70"/>
      <c r="Y104" s="70"/>
      <c r="Z104" s="70"/>
      <c r="AA104" s="70"/>
      <c r="AB104" s="50"/>
      <c r="AC104" s="92"/>
    </row>
    <row r="105" spans="1:29" ht="57" customHeight="1" x14ac:dyDescent="0.25">
      <c r="A105" s="129"/>
      <c r="B105" s="130"/>
      <c r="C105" s="329"/>
      <c r="D105" s="332"/>
      <c r="E105" s="335"/>
      <c r="F105" s="335"/>
      <c r="G105" s="338"/>
      <c r="H105" s="341"/>
      <c r="I105" s="335"/>
      <c r="J105" s="332"/>
      <c r="K105" s="56"/>
      <c r="L105" s="56"/>
      <c r="M105" s="55"/>
      <c r="N105" s="55"/>
      <c r="O105" s="87"/>
      <c r="P105" s="87"/>
      <c r="Q105" s="87"/>
      <c r="R105" s="87"/>
      <c r="S105" s="87"/>
      <c r="T105" s="87"/>
      <c r="U105" s="87"/>
      <c r="V105" s="87"/>
      <c r="W105" s="87"/>
      <c r="X105" s="68"/>
      <c r="Y105" s="68"/>
      <c r="Z105" s="68"/>
      <c r="AA105" s="68"/>
      <c r="AB105" s="51"/>
      <c r="AC105" s="93"/>
    </row>
    <row r="106" spans="1:29" ht="57" customHeight="1" thickBot="1" x14ac:dyDescent="0.3">
      <c r="A106" s="131"/>
      <c r="B106" s="132"/>
      <c r="C106" s="330"/>
      <c r="D106" s="333"/>
      <c r="E106" s="336"/>
      <c r="F106" s="336"/>
      <c r="G106" s="339"/>
      <c r="H106" s="342"/>
      <c r="I106" s="336"/>
      <c r="J106" s="333"/>
      <c r="K106" s="39"/>
      <c r="L106" s="39"/>
      <c r="M106" s="60"/>
      <c r="N106" s="60"/>
      <c r="O106" s="88"/>
      <c r="P106" s="88"/>
      <c r="Q106" s="88"/>
      <c r="R106" s="88"/>
      <c r="S106" s="88"/>
      <c r="T106" s="88"/>
      <c r="U106" s="88"/>
      <c r="V106" s="88"/>
      <c r="W106" s="88"/>
      <c r="X106" s="69"/>
      <c r="Y106" s="69"/>
      <c r="Z106" s="69"/>
      <c r="AA106" s="69"/>
      <c r="AB106" s="52"/>
      <c r="AC106" s="94"/>
    </row>
    <row r="107" spans="1:29" ht="57" customHeight="1" thickBot="1" x14ac:dyDescent="0.3">
      <c r="A107" s="127"/>
      <c r="B107" s="138" t="s">
        <v>294</v>
      </c>
      <c r="C107" s="147" t="s">
        <v>295</v>
      </c>
      <c r="D107" s="138"/>
      <c r="E107" s="138"/>
      <c r="F107" s="138"/>
      <c r="G107" s="138"/>
      <c r="H107" s="138"/>
      <c r="I107" s="138"/>
      <c r="J107" s="138"/>
      <c r="K107" s="135"/>
      <c r="L107" s="135"/>
      <c r="M107" s="135"/>
      <c r="N107" s="135"/>
      <c r="O107" s="141"/>
      <c r="P107" s="141"/>
      <c r="Q107" s="141"/>
      <c r="R107" s="141"/>
      <c r="S107" s="141"/>
      <c r="T107" s="141"/>
      <c r="U107" s="141"/>
      <c r="V107" s="141"/>
      <c r="W107" s="141"/>
      <c r="X107" s="142"/>
      <c r="Y107" s="142"/>
      <c r="Z107" s="142"/>
      <c r="AA107" s="142"/>
      <c r="AB107" s="135"/>
      <c r="AC107" s="54"/>
    </row>
    <row r="108" spans="1:29" ht="57" customHeight="1" x14ac:dyDescent="0.25">
      <c r="A108" s="119" t="s">
        <v>296</v>
      </c>
      <c r="B108" s="128" t="s">
        <v>297</v>
      </c>
      <c r="C108" s="328" t="s">
        <v>298</v>
      </c>
      <c r="D108" s="331" t="s">
        <v>299</v>
      </c>
      <c r="E108" s="334"/>
      <c r="F108" s="334"/>
      <c r="G108" s="337" t="s">
        <v>128</v>
      </c>
      <c r="H108" s="340"/>
      <c r="I108" s="334" t="s">
        <v>300</v>
      </c>
      <c r="J108" s="331" t="s">
        <v>298</v>
      </c>
      <c r="K108" s="38"/>
      <c r="L108" s="38"/>
      <c r="M108" s="61"/>
      <c r="N108" s="61"/>
      <c r="O108" s="89"/>
      <c r="P108" s="89"/>
      <c r="Q108" s="89"/>
      <c r="R108" s="89"/>
      <c r="S108" s="89"/>
      <c r="T108" s="89"/>
      <c r="U108" s="89"/>
      <c r="V108" s="89"/>
      <c r="W108" s="89"/>
      <c r="X108" s="70"/>
      <c r="Y108" s="70"/>
      <c r="Z108" s="70"/>
      <c r="AA108" s="70"/>
      <c r="AB108" s="50"/>
      <c r="AC108" s="92"/>
    </row>
    <row r="109" spans="1:29" ht="57" customHeight="1" x14ac:dyDescent="0.25">
      <c r="A109" s="129"/>
      <c r="B109" s="130"/>
      <c r="C109" s="329"/>
      <c r="D109" s="332"/>
      <c r="E109" s="335" t="s">
        <v>301</v>
      </c>
      <c r="F109" s="335" t="s">
        <v>301</v>
      </c>
      <c r="G109" s="338"/>
      <c r="H109" s="341"/>
      <c r="I109" s="335"/>
      <c r="J109" s="332"/>
      <c r="K109" s="56"/>
      <c r="L109" s="56"/>
      <c r="M109" s="55"/>
      <c r="N109" s="55"/>
      <c r="O109" s="87"/>
      <c r="P109" s="87"/>
      <c r="Q109" s="87"/>
      <c r="R109" s="87"/>
      <c r="S109" s="87"/>
      <c r="T109" s="87"/>
      <c r="U109" s="87"/>
      <c r="V109" s="87"/>
      <c r="W109" s="87"/>
      <c r="X109" s="68"/>
      <c r="Y109" s="68"/>
      <c r="Z109" s="68"/>
      <c r="AA109" s="68"/>
      <c r="AB109" s="51"/>
      <c r="AC109" s="93"/>
    </row>
    <row r="110" spans="1:29" ht="108" customHeight="1" thickBot="1" x14ac:dyDescent="0.3">
      <c r="A110" s="131"/>
      <c r="B110" s="132"/>
      <c r="C110" s="330"/>
      <c r="D110" s="333"/>
      <c r="E110" s="336" t="s">
        <v>302</v>
      </c>
      <c r="F110" s="336" t="s">
        <v>302</v>
      </c>
      <c r="G110" s="339"/>
      <c r="H110" s="342"/>
      <c r="I110" s="336"/>
      <c r="J110" s="333"/>
      <c r="K110" s="39"/>
      <c r="L110" s="39"/>
      <c r="M110" s="60"/>
      <c r="N110" s="60"/>
      <c r="O110" s="88"/>
      <c r="P110" s="88"/>
      <c r="Q110" s="88"/>
      <c r="R110" s="88"/>
      <c r="S110" s="88"/>
      <c r="T110" s="88"/>
      <c r="U110" s="88"/>
      <c r="V110" s="88"/>
      <c r="W110" s="88"/>
      <c r="X110" s="69"/>
      <c r="Y110" s="69"/>
      <c r="Z110" s="69"/>
      <c r="AA110" s="69"/>
      <c r="AB110" s="52"/>
      <c r="AC110" s="94"/>
    </row>
    <row r="111" spans="1:29" ht="57" customHeight="1" x14ac:dyDescent="0.25">
      <c r="A111" s="119" t="s">
        <v>303</v>
      </c>
      <c r="B111" s="128" t="s">
        <v>304</v>
      </c>
      <c r="C111" s="328" t="s">
        <v>305</v>
      </c>
      <c r="D111" s="331" t="s">
        <v>306</v>
      </c>
      <c r="E111" s="334"/>
      <c r="F111" s="334"/>
      <c r="G111" s="337" t="s">
        <v>128</v>
      </c>
      <c r="H111" s="340"/>
      <c r="I111" s="334" t="s">
        <v>307</v>
      </c>
      <c r="J111" s="331" t="s">
        <v>308</v>
      </c>
      <c r="K111" s="38"/>
      <c r="L111" s="38"/>
      <c r="M111" s="61"/>
      <c r="N111" s="61"/>
      <c r="O111" s="89"/>
      <c r="P111" s="89"/>
      <c r="Q111" s="89"/>
      <c r="R111" s="89"/>
      <c r="S111" s="89"/>
      <c r="T111" s="89"/>
      <c r="U111" s="89"/>
      <c r="V111" s="89"/>
      <c r="W111" s="89"/>
      <c r="X111" s="70"/>
      <c r="Y111" s="70"/>
      <c r="Z111" s="70"/>
      <c r="AA111" s="70"/>
      <c r="AB111" s="50"/>
      <c r="AC111" s="92"/>
    </row>
    <row r="112" spans="1:29" ht="57" customHeight="1" x14ac:dyDescent="0.25">
      <c r="A112" s="129"/>
      <c r="B112" s="130"/>
      <c r="C112" s="329"/>
      <c r="D112" s="332"/>
      <c r="E112" s="335"/>
      <c r="F112" s="335"/>
      <c r="G112" s="338"/>
      <c r="H112" s="341"/>
      <c r="I112" s="335"/>
      <c r="J112" s="332"/>
      <c r="K112" s="56"/>
      <c r="L112" s="56"/>
      <c r="M112" s="55"/>
      <c r="N112" s="55"/>
      <c r="O112" s="87"/>
      <c r="P112" s="87"/>
      <c r="Q112" s="87"/>
      <c r="R112" s="87"/>
      <c r="S112" s="87"/>
      <c r="T112" s="87"/>
      <c r="U112" s="87"/>
      <c r="V112" s="87"/>
      <c r="W112" s="87"/>
      <c r="X112" s="68"/>
      <c r="Y112" s="68"/>
      <c r="Z112" s="68"/>
      <c r="AA112" s="68"/>
      <c r="AB112" s="51"/>
      <c r="AC112" s="93"/>
    </row>
    <row r="113" spans="1:29" ht="88" customHeight="1" thickBot="1" x14ac:dyDescent="0.3">
      <c r="A113" s="131"/>
      <c r="B113" s="132"/>
      <c r="C113" s="330"/>
      <c r="D113" s="333"/>
      <c r="E113" s="336"/>
      <c r="F113" s="336"/>
      <c r="G113" s="339"/>
      <c r="H113" s="342"/>
      <c r="I113" s="336"/>
      <c r="J113" s="333"/>
      <c r="K113" s="39"/>
      <c r="L113" s="39"/>
      <c r="M113" s="60"/>
      <c r="N113" s="60"/>
      <c r="O113" s="88"/>
      <c r="P113" s="88"/>
      <c r="Q113" s="88"/>
      <c r="R113" s="88"/>
      <c r="S113" s="88"/>
      <c r="T113" s="88"/>
      <c r="U113" s="88"/>
      <c r="V113" s="88"/>
      <c r="W113" s="88"/>
      <c r="X113" s="69"/>
      <c r="Y113" s="69"/>
      <c r="Z113" s="69"/>
      <c r="AA113" s="69"/>
      <c r="AB113" s="52"/>
      <c r="AC113" s="94"/>
    </row>
    <row r="114" spans="1:29" ht="57" customHeight="1" x14ac:dyDescent="0.25">
      <c r="A114" s="119" t="s">
        <v>309</v>
      </c>
      <c r="B114" s="128" t="s">
        <v>310</v>
      </c>
      <c r="C114" s="328" t="s">
        <v>311</v>
      </c>
      <c r="D114" s="331" t="s">
        <v>312</v>
      </c>
      <c r="E114" s="334" t="s">
        <v>301</v>
      </c>
      <c r="F114" s="334"/>
      <c r="G114" s="337" t="s">
        <v>128</v>
      </c>
      <c r="H114" s="340"/>
      <c r="I114" s="334" t="s">
        <v>313</v>
      </c>
      <c r="J114" s="331" t="s">
        <v>314</v>
      </c>
      <c r="K114" s="38"/>
      <c r="L114" s="38"/>
      <c r="M114" s="61"/>
      <c r="N114" s="61"/>
      <c r="O114" s="89"/>
      <c r="P114" s="89"/>
      <c r="Q114" s="89"/>
      <c r="R114" s="89"/>
      <c r="S114" s="89"/>
      <c r="T114" s="89"/>
      <c r="U114" s="89"/>
      <c r="V114" s="89"/>
      <c r="W114" s="89"/>
      <c r="X114" s="70"/>
      <c r="Y114" s="70"/>
      <c r="Z114" s="70"/>
      <c r="AA114" s="70"/>
      <c r="AB114" s="50"/>
      <c r="AC114" s="92"/>
    </row>
    <row r="115" spans="1:29" ht="57" customHeight="1" x14ac:dyDescent="0.25">
      <c r="A115" s="129"/>
      <c r="B115" s="130"/>
      <c r="C115" s="329"/>
      <c r="D115" s="332"/>
      <c r="E115" s="335" t="s">
        <v>315</v>
      </c>
      <c r="F115" s="335"/>
      <c r="G115" s="338"/>
      <c r="H115" s="341"/>
      <c r="I115" s="335"/>
      <c r="J115" s="332"/>
      <c r="K115" s="56"/>
      <c r="L115" s="56"/>
      <c r="M115" s="55"/>
      <c r="N115" s="55"/>
      <c r="O115" s="87"/>
      <c r="P115" s="87"/>
      <c r="Q115" s="87"/>
      <c r="R115" s="87"/>
      <c r="S115" s="87"/>
      <c r="T115" s="87"/>
      <c r="U115" s="87"/>
      <c r="V115" s="87"/>
      <c r="W115" s="87"/>
      <c r="X115" s="68"/>
      <c r="Y115" s="68"/>
      <c r="Z115" s="68"/>
      <c r="AA115" s="68"/>
      <c r="AB115" s="51"/>
      <c r="AC115" s="93"/>
    </row>
    <row r="116" spans="1:29" ht="57" customHeight="1" thickBot="1" x14ac:dyDescent="0.3">
      <c r="A116" s="131"/>
      <c r="B116" s="132"/>
      <c r="C116" s="330"/>
      <c r="D116" s="333"/>
      <c r="E116" s="336"/>
      <c r="F116" s="336"/>
      <c r="G116" s="339"/>
      <c r="H116" s="342"/>
      <c r="I116" s="336"/>
      <c r="J116" s="333"/>
      <c r="K116" s="39"/>
      <c r="L116" s="39"/>
      <c r="M116" s="60"/>
      <c r="N116" s="60"/>
      <c r="O116" s="88"/>
      <c r="P116" s="88"/>
      <c r="Q116" s="88"/>
      <c r="R116" s="88"/>
      <c r="S116" s="88"/>
      <c r="T116" s="88"/>
      <c r="U116" s="88"/>
      <c r="V116" s="88"/>
      <c r="W116" s="88"/>
      <c r="X116" s="69"/>
      <c r="Y116" s="69"/>
      <c r="Z116" s="69"/>
      <c r="AA116" s="69"/>
      <c r="AB116" s="52"/>
      <c r="AC116" s="94"/>
    </row>
    <row r="117" spans="1:29" ht="57" customHeight="1" thickBot="1" x14ac:dyDescent="0.3">
      <c r="A117" s="127"/>
      <c r="B117" s="138" t="s">
        <v>316</v>
      </c>
      <c r="C117" s="147" t="s">
        <v>317</v>
      </c>
      <c r="D117" s="138"/>
      <c r="E117" s="138"/>
      <c r="F117" s="138"/>
      <c r="G117" s="138"/>
      <c r="H117" s="138"/>
      <c r="I117" s="138"/>
      <c r="J117" s="138"/>
      <c r="K117" s="135"/>
      <c r="L117" s="135"/>
      <c r="M117" s="135"/>
      <c r="N117" s="135"/>
      <c r="O117" s="141"/>
      <c r="P117" s="141"/>
      <c r="Q117" s="141"/>
      <c r="R117" s="141"/>
      <c r="S117" s="141"/>
      <c r="T117" s="141"/>
      <c r="U117" s="141"/>
      <c r="V117" s="141"/>
      <c r="W117" s="141"/>
      <c r="X117" s="142"/>
      <c r="Y117" s="142"/>
      <c r="Z117" s="142"/>
      <c r="AA117" s="142"/>
      <c r="AB117" s="135"/>
      <c r="AC117" s="54"/>
    </row>
    <row r="118" spans="1:29" ht="57" customHeight="1" x14ac:dyDescent="0.25">
      <c r="A118" s="119" t="s">
        <v>318</v>
      </c>
      <c r="B118" s="128" t="s">
        <v>319</v>
      </c>
      <c r="C118" s="328" t="s">
        <v>320</v>
      </c>
      <c r="D118" s="331" t="s">
        <v>321</v>
      </c>
      <c r="E118" s="334"/>
      <c r="F118" s="334"/>
      <c r="G118" s="337" t="s">
        <v>128</v>
      </c>
      <c r="H118" s="340"/>
      <c r="I118" s="334" t="s">
        <v>322</v>
      </c>
      <c r="J118" s="331" t="s">
        <v>323</v>
      </c>
      <c r="K118" s="38"/>
      <c r="L118" s="38"/>
      <c r="M118" s="61"/>
      <c r="N118" s="61"/>
      <c r="O118" s="89"/>
      <c r="P118" s="89"/>
      <c r="Q118" s="89"/>
      <c r="R118" s="89"/>
      <c r="S118" s="89"/>
      <c r="T118" s="89"/>
      <c r="U118" s="89"/>
      <c r="V118" s="89"/>
      <c r="W118" s="89"/>
      <c r="X118" s="70"/>
      <c r="Y118" s="70"/>
      <c r="Z118" s="70"/>
      <c r="AA118" s="70"/>
      <c r="AB118" s="50"/>
      <c r="AC118" s="92"/>
    </row>
    <row r="119" spans="1:29" ht="57" customHeight="1" x14ac:dyDescent="0.25">
      <c r="A119" s="129"/>
      <c r="B119" s="130"/>
      <c r="C119" s="329"/>
      <c r="D119" s="332"/>
      <c r="E119" s="335" t="s">
        <v>301</v>
      </c>
      <c r="F119" s="335" t="s">
        <v>301</v>
      </c>
      <c r="G119" s="338"/>
      <c r="H119" s="341"/>
      <c r="I119" s="335"/>
      <c r="J119" s="332"/>
      <c r="K119" s="56"/>
      <c r="L119" s="56"/>
      <c r="M119" s="55"/>
      <c r="N119" s="55"/>
      <c r="O119" s="87"/>
      <c r="P119" s="87"/>
      <c r="Q119" s="87"/>
      <c r="R119" s="87"/>
      <c r="S119" s="87"/>
      <c r="T119" s="87"/>
      <c r="U119" s="87"/>
      <c r="V119" s="87"/>
      <c r="W119" s="87"/>
      <c r="X119" s="68"/>
      <c r="Y119" s="68"/>
      <c r="Z119" s="68"/>
      <c r="AA119" s="68"/>
      <c r="AB119" s="51"/>
      <c r="AC119" s="93"/>
    </row>
    <row r="120" spans="1:29" ht="57" customHeight="1" thickBot="1" x14ac:dyDescent="0.3">
      <c r="A120" s="131"/>
      <c r="B120" s="132"/>
      <c r="C120" s="330"/>
      <c r="D120" s="333"/>
      <c r="E120" s="336" t="s">
        <v>302</v>
      </c>
      <c r="F120" s="336" t="s">
        <v>302</v>
      </c>
      <c r="G120" s="339"/>
      <c r="H120" s="342"/>
      <c r="I120" s="336"/>
      <c r="J120" s="333"/>
      <c r="K120" s="39"/>
      <c r="L120" s="39"/>
      <c r="M120" s="60"/>
      <c r="N120" s="60"/>
      <c r="O120" s="88"/>
      <c r="P120" s="88"/>
      <c r="Q120" s="88"/>
      <c r="R120" s="88"/>
      <c r="S120" s="88"/>
      <c r="T120" s="88"/>
      <c r="U120" s="88"/>
      <c r="V120" s="88"/>
      <c r="W120" s="88"/>
      <c r="X120" s="69"/>
      <c r="Y120" s="69"/>
      <c r="Z120" s="69"/>
      <c r="AA120" s="69"/>
      <c r="AB120" s="52"/>
      <c r="AC120" s="94"/>
    </row>
    <row r="121" spans="1:29" ht="57" customHeight="1" x14ac:dyDescent="0.25">
      <c r="A121" s="119" t="s">
        <v>324</v>
      </c>
      <c r="B121" s="128" t="s">
        <v>325</v>
      </c>
      <c r="C121" s="328" t="s">
        <v>326</v>
      </c>
      <c r="D121" s="331" t="s">
        <v>327</v>
      </c>
      <c r="E121" s="334" t="s">
        <v>301</v>
      </c>
      <c r="F121" s="334"/>
      <c r="G121" s="337" t="s">
        <v>128</v>
      </c>
      <c r="H121" s="340"/>
      <c r="I121" s="334" t="s">
        <v>328</v>
      </c>
      <c r="J121" s="331" t="s">
        <v>329</v>
      </c>
      <c r="K121" s="38"/>
      <c r="L121" s="38"/>
      <c r="M121" s="61"/>
      <c r="N121" s="61"/>
      <c r="O121" s="89"/>
      <c r="P121" s="89"/>
      <c r="Q121" s="89"/>
      <c r="R121" s="89"/>
      <c r="S121" s="89"/>
      <c r="T121" s="89"/>
      <c r="U121" s="89"/>
      <c r="V121" s="89"/>
      <c r="W121" s="89"/>
      <c r="X121" s="70"/>
      <c r="Y121" s="70"/>
      <c r="Z121" s="70"/>
      <c r="AA121" s="70"/>
      <c r="AB121" s="50"/>
      <c r="AC121" s="92"/>
    </row>
    <row r="122" spans="1:29" ht="57" customHeight="1" x14ac:dyDescent="0.25">
      <c r="A122" s="129"/>
      <c r="B122" s="130"/>
      <c r="C122" s="329"/>
      <c r="D122" s="332"/>
      <c r="E122" s="335" t="s">
        <v>315</v>
      </c>
      <c r="F122" s="335"/>
      <c r="G122" s="338"/>
      <c r="H122" s="341"/>
      <c r="I122" s="335"/>
      <c r="J122" s="332"/>
      <c r="K122" s="56"/>
      <c r="L122" s="56"/>
      <c r="M122" s="55"/>
      <c r="N122" s="55"/>
      <c r="O122" s="87"/>
      <c r="P122" s="87"/>
      <c r="Q122" s="87"/>
      <c r="R122" s="87"/>
      <c r="S122" s="87"/>
      <c r="T122" s="87"/>
      <c r="U122" s="87"/>
      <c r="V122" s="87"/>
      <c r="W122" s="87"/>
      <c r="X122" s="68"/>
      <c r="Y122" s="68"/>
      <c r="Z122" s="68"/>
      <c r="AA122" s="68"/>
      <c r="AB122" s="51"/>
      <c r="AC122" s="93"/>
    </row>
    <row r="123" spans="1:29" ht="57" customHeight="1" thickBot="1" x14ac:dyDescent="0.3">
      <c r="A123" s="131"/>
      <c r="B123" s="132"/>
      <c r="C123" s="330"/>
      <c r="D123" s="333"/>
      <c r="E123" s="336"/>
      <c r="F123" s="336"/>
      <c r="G123" s="339"/>
      <c r="H123" s="342"/>
      <c r="I123" s="336"/>
      <c r="J123" s="333"/>
      <c r="K123" s="39"/>
      <c r="L123" s="39"/>
      <c r="M123" s="60"/>
      <c r="N123" s="60"/>
      <c r="O123" s="88"/>
      <c r="P123" s="88"/>
      <c r="Q123" s="88"/>
      <c r="R123" s="88"/>
      <c r="S123" s="88"/>
      <c r="T123" s="88"/>
      <c r="U123" s="88"/>
      <c r="V123" s="88"/>
      <c r="W123" s="88"/>
      <c r="X123" s="69"/>
      <c r="Y123" s="69"/>
      <c r="Z123" s="69"/>
      <c r="AA123" s="69"/>
      <c r="AB123" s="52"/>
      <c r="AC123" s="94"/>
    </row>
    <row r="124" spans="1:29" ht="57" customHeight="1" x14ac:dyDescent="0.25">
      <c r="A124" s="119" t="s">
        <v>324</v>
      </c>
      <c r="B124" s="128" t="s">
        <v>330</v>
      </c>
      <c r="C124" s="328" t="s">
        <v>329</v>
      </c>
      <c r="D124" s="331" t="s">
        <v>327</v>
      </c>
      <c r="E124" s="334" t="s">
        <v>301</v>
      </c>
      <c r="F124" s="334"/>
      <c r="G124" s="337" t="s">
        <v>128</v>
      </c>
      <c r="H124" s="340"/>
      <c r="I124" s="334" t="s">
        <v>328</v>
      </c>
      <c r="J124" s="331" t="s">
        <v>329</v>
      </c>
      <c r="K124" s="38"/>
      <c r="L124" s="38"/>
      <c r="M124" s="61"/>
      <c r="N124" s="61"/>
      <c r="O124" s="89"/>
      <c r="P124" s="89"/>
      <c r="Q124" s="89"/>
      <c r="R124" s="89"/>
      <c r="S124" s="89"/>
      <c r="T124" s="89"/>
      <c r="U124" s="89"/>
      <c r="V124" s="89"/>
      <c r="W124" s="89"/>
      <c r="X124" s="70"/>
      <c r="Y124" s="70"/>
      <c r="Z124" s="70"/>
      <c r="AA124" s="70"/>
      <c r="AB124" s="50"/>
      <c r="AC124" s="92"/>
    </row>
    <row r="125" spans="1:29" ht="57" customHeight="1" x14ac:dyDescent="0.25">
      <c r="A125" s="129"/>
      <c r="B125" s="130"/>
      <c r="C125" s="329"/>
      <c r="D125" s="332"/>
      <c r="E125" s="335" t="s">
        <v>315</v>
      </c>
      <c r="F125" s="335"/>
      <c r="G125" s="338"/>
      <c r="H125" s="341"/>
      <c r="I125" s="335"/>
      <c r="J125" s="332"/>
      <c r="K125" s="56"/>
      <c r="L125" s="56"/>
      <c r="M125" s="55"/>
      <c r="N125" s="55"/>
      <c r="O125" s="87"/>
      <c r="P125" s="87"/>
      <c r="Q125" s="87"/>
      <c r="R125" s="87"/>
      <c r="S125" s="87"/>
      <c r="T125" s="87"/>
      <c r="U125" s="87"/>
      <c r="V125" s="87"/>
      <c r="W125" s="87"/>
      <c r="X125" s="68"/>
      <c r="Y125" s="68"/>
      <c r="Z125" s="68"/>
      <c r="AA125" s="68"/>
      <c r="AB125" s="51"/>
      <c r="AC125" s="93"/>
    </row>
    <row r="126" spans="1:29" ht="57" customHeight="1" thickBot="1" x14ac:dyDescent="0.3">
      <c r="A126" s="131"/>
      <c r="B126" s="132"/>
      <c r="C126" s="330"/>
      <c r="D126" s="333"/>
      <c r="E126" s="336"/>
      <c r="F126" s="336"/>
      <c r="G126" s="339"/>
      <c r="H126" s="342"/>
      <c r="I126" s="336"/>
      <c r="J126" s="333"/>
      <c r="K126" s="39"/>
      <c r="L126" s="39"/>
      <c r="M126" s="60"/>
      <c r="N126" s="60"/>
      <c r="O126" s="88"/>
      <c r="P126" s="88"/>
      <c r="Q126" s="88"/>
      <c r="R126" s="88"/>
      <c r="S126" s="88"/>
      <c r="T126" s="88"/>
      <c r="U126" s="88"/>
      <c r="V126" s="88"/>
      <c r="W126" s="88"/>
      <c r="X126" s="69"/>
      <c r="Y126" s="69"/>
      <c r="Z126" s="69"/>
      <c r="AA126" s="69"/>
      <c r="AB126" s="52"/>
      <c r="AC126" s="94"/>
    </row>
    <row r="127" spans="1:29" ht="57" customHeight="1" thickBot="1" x14ac:dyDescent="0.3">
      <c r="A127" s="125">
        <v>5</v>
      </c>
      <c r="B127" s="126" t="s">
        <v>331</v>
      </c>
      <c r="C127" s="345" t="s">
        <v>332</v>
      </c>
      <c r="D127" s="346"/>
      <c r="E127" s="148"/>
      <c r="F127" s="148"/>
      <c r="G127" s="148"/>
      <c r="H127" s="148"/>
      <c r="I127" s="148"/>
      <c r="J127" s="148"/>
      <c r="K127" s="62"/>
      <c r="L127" s="62"/>
      <c r="M127" s="62"/>
      <c r="N127" s="62"/>
      <c r="O127" s="144"/>
      <c r="P127" s="144"/>
      <c r="Q127" s="144"/>
      <c r="R127" s="144"/>
      <c r="S127" s="144"/>
      <c r="T127" s="144"/>
      <c r="U127" s="144"/>
      <c r="V127" s="144"/>
      <c r="W127" s="144"/>
      <c r="X127" s="145"/>
      <c r="Y127" s="145"/>
      <c r="Z127" s="145"/>
      <c r="AA127" s="145"/>
      <c r="AB127" s="62"/>
      <c r="AC127" s="63"/>
    </row>
    <row r="128" spans="1:29" ht="57" customHeight="1" thickBot="1" x14ac:dyDescent="0.3">
      <c r="A128" s="127"/>
      <c r="B128" s="138" t="s">
        <v>333</v>
      </c>
      <c r="C128" s="345" t="s">
        <v>334</v>
      </c>
      <c r="D128" s="346"/>
      <c r="E128" s="148"/>
      <c r="F128" s="138"/>
      <c r="G128" s="148"/>
      <c r="H128" s="148"/>
      <c r="I128" s="138"/>
      <c r="J128" s="138"/>
      <c r="K128" s="135"/>
      <c r="L128" s="135"/>
      <c r="M128" s="135"/>
      <c r="N128" s="135"/>
      <c r="O128" s="141"/>
      <c r="P128" s="141"/>
      <c r="Q128" s="141"/>
      <c r="R128" s="141"/>
      <c r="S128" s="141"/>
      <c r="T128" s="141"/>
      <c r="U128" s="141"/>
      <c r="V128" s="141"/>
      <c r="W128" s="141"/>
      <c r="X128" s="142"/>
      <c r="Y128" s="142"/>
      <c r="Z128" s="142"/>
      <c r="AA128" s="142"/>
      <c r="AB128" s="135"/>
      <c r="AC128" s="54"/>
    </row>
    <row r="129" spans="1:29" ht="57" customHeight="1" x14ac:dyDescent="0.25">
      <c r="A129" s="119" t="s">
        <v>335</v>
      </c>
      <c r="B129" s="128" t="s">
        <v>336</v>
      </c>
      <c r="C129" s="328" t="s">
        <v>337</v>
      </c>
      <c r="D129" s="331" t="s">
        <v>338</v>
      </c>
      <c r="E129" s="334" t="s">
        <v>339</v>
      </c>
      <c r="F129" s="334"/>
      <c r="G129" s="337" t="s">
        <v>128</v>
      </c>
      <c r="H129" s="340"/>
      <c r="I129" s="334" t="s">
        <v>340</v>
      </c>
      <c r="J129" s="331" t="s">
        <v>337</v>
      </c>
      <c r="K129" s="38"/>
      <c r="L129" s="38"/>
      <c r="M129" s="61"/>
      <c r="N129" s="61"/>
      <c r="O129" s="89"/>
      <c r="P129" s="89"/>
      <c r="Q129" s="89"/>
      <c r="R129" s="89"/>
      <c r="S129" s="89"/>
      <c r="T129" s="89"/>
      <c r="U129" s="89"/>
      <c r="V129" s="89"/>
      <c r="W129" s="89"/>
      <c r="X129" s="70"/>
      <c r="Y129" s="70"/>
      <c r="Z129" s="70"/>
      <c r="AA129" s="70"/>
      <c r="AB129" s="50"/>
      <c r="AC129" s="92"/>
    </row>
    <row r="130" spans="1:29" ht="57" customHeight="1" x14ac:dyDescent="0.25">
      <c r="A130" s="129"/>
      <c r="B130" s="130"/>
      <c r="C130" s="329"/>
      <c r="D130" s="332"/>
      <c r="E130" s="335"/>
      <c r="F130" s="335"/>
      <c r="G130" s="338"/>
      <c r="H130" s="341"/>
      <c r="I130" s="335"/>
      <c r="J130" s="332"/>
      <c r="K130" s="56"/>
      <c r="L130" s="56"/>
      <c r="M130" s="55"/>
      <c r="N130" s="55"/>
      <c r="O130" s="87"/>
      <c r="P130" s="87"/>
      <c r="Q130" s="87"/>
      <c r="R130" s="87"/>
      <c r="S130" s="87"/>
      <c r="T130" s="87"/>
      <c r="U130" s="87"/>
      <c r="V130" s="87"/>
      <c r="W130" s="87"/>
      <c r="X130" s="68"/>
      <c r="Y130" s="68"/>
      <c r="Z130" s="68"/>
      <c r="AA130" s="68"/>
      <c r="AB130" s="51"/>
      <c r="AC130" s="93"/>
    </row>
    <row r="131" spans="1:29" ht="57" customHeight="1" thickBot="1" x14ac:dyDescent="0.3">
      <c r="A131" s="131"/>
      <c r="B131" s="132"/>
      <c r="C131" s="330"/>
      <c r="D131" s="333"/>
      <c r="E131" s="336"/>
      <c r="F131" s="336"/>
      <c r="G131" s="339"/>
      <c r="H131" s="342"/>
      <c r="I131" s="336"/>
      <c r="J131" s="333"/>
      <c r="K131" s="39"/>
      <c r="L131" s="39"/>
      <c r="M131" s="60"/>
      <c r="N131" s="60"/>
      <c r="O131" s="88"/>
      <c r="P131" s="88"/>
      <c r="Q131" s="88"/>
      <c r="R131" s="88"/>
      <c r="S131" s="88"/>
      <c r="T131" s="88"/>
      <c r="U131" s="88"/>
      <c r="V131" s="88"/>
      <c r="W131" s="88"/>
      <c r="X131" s="69"/>
      <c r="Y131" s="69"/>
      <c r="Z131" s="69"/>
      <c r="AA131" s="69"/>
      <c r="AB131" s="52"/>
      <c r="AC131" s="94"/>
    </row>
    <row r="132" spans="1:29" ht="57" customHeight="1" thickBot="1" x14ac:dyDescent="0.3">
      <c r="A132" s="127"/>
      <c r="B132" s="138" t="s">
        <v>341</v>
      </c>
      <c r="C132" s="345" t="s">
        <v>342</v>
      </c>
      <c r="D132" s="346"/>
      <c r="E132" s="148"/>
      <c r="F132" s="138"/>
      <c r="G132" s="138"/>
      <c r="H132" s="138"/>
      <c r="I132" s="138"/>
      <c r="J132" s="138"/>
      <c r="K132" s="135"/>
      <c r="L132" s="135"/>
      <c r="M132" s="135"/>
      <c r="N132" s="135"/>
      <c r="O132" s="141"/>
      <c r="P132" s="141"/>
      <c r="Q132" s="141"/>
      <c r="R132" s="141"/>
      <c r="S132" s="141"/>
      <c r="T132" s="141"/>
      <c r="U132" s="141"/>
      <c r="V132" s="141"/>
      <c r="W132" s="141"/>
      <c r="X132" s="142"/>
      <c r="Y132" s="142"/>
      <c r="Z132" s="142"/>
      <c r="AA132" s="142"/>
      <c r="AB132" s="135"/>
      <c r="AC132" s="54"/>
    </row>
    <row r="133" spans="1:29" ht="57" customHeight="1" x14ac:dyDescent="0.25">
      <c r="A133" s="119" t="s">
        <v>343</v>
      </c>
      <c r="B133" s="128" t="s">
        <v>344</v>
      </c>
      <c r="C133" s="328" t="s">
        <v>345</v>
      </c>
      <c r="D133" s="331" t="s">
        <v>346</v>
      </c>
      <c r="E133" s="334"/>
      <c r="F133" s="334"/>
      <c r="G133" s="337" t="s">
        <v>128</v>
      </c>
      <c r="H133" s="340"/>
      <c r="I133" s="334" t="s">
        <v>347</v>
      </c>
      <c r="J133" s="331" t="s">
        <v>345</v>
      </c>
      <c r="K133" s="38"/>
      <c r="L133" s="38"/>
      <c r="M133" s="61"/>
      <c r="N133" s="61"/>
      <c r="O133" s="89"/>
      <c r="P133" s="89"/>
      <c r="Q133" s="89"/>
      <c r="R133" s="89"/>
      <c r="S133" s="89"/>
      <c r="T133" s="89"/>
      <c r="U133" s="89"/>
      <c r="V133" s="89"/>
      <c r="W133" s="89"/>
      <c r="X133" s="70"/>
      <c r="Y133" s="70"/>
      <c r="Z133" s="70"/>
      <c r="AA133" s="70"/>
      <c r="AB133" s="50"/>
      <c r="AC133" s="92"/>
    </row>
    <row r="134" spans="1:29" ht="57" customHeight="1" x14ac:dyDescent="0.25">
      <c r="A134" s="129"/>
      <c r="B134" s="130"/>
      <c r="C134" s="329"/>
      <c r="D134" s="332"/>
      <c r="E134" s="335"/>
      <c r="F134" s="335"/>
      <c r="G134" s="338"/>
      <c r="H134" s="341"/>
      <c r="I134" s="335"/>
      <c r="J134" s="332"/>
      <c r="K134" s="56"/>
      <c r="L134" s="56"/>
      <c r="M134" s="55"/>
      <c r="N134" s="55"/>
      <c r="O134" s="87"/>
      <c r="P134" s="87"/>
      <c r="Q134" s="87"/>
      <c r="R134" s="87"/>
      <c r="S134" s="87"/>
      <c r="T134" s="87"/>
      <c r="U134" s="87"/>
      <c r="V134" s="87"/>
      <c r="W134" s="87"/>
      <c r="X134" s="68"/>
      <c r="Y134" s="68"/>
      <c r="Z134" s="68"/>
      <c r="AA134" s="68"/>
      <c r="AB134" s="51"/>
      <c r="AC134" s="93"/>
    </row>
    <row r="135" spans="1:29" ht="57" customHeight="1" thickBot="1" x14ac:dyDescent="0.3">
      <c r="A135" s="131"/>
      <c r="B135" s="132"/>
      <c r="C135" s="330"/>
      <c r="D135" s="333"/>
      <c r="E135" s="336"/>
      <c r="F135" s="336"/>
      <c r="G135" s="339"/>
      <c r="H135" s="342"/>
      <c r="I135" s="336"/>
      <c r="J135" s="333"/>
      <c r="K135" s="39"/>
      <c r="L135" s="39"/>
      <c r="M135" s="60"/>
      <c r="N135" s="60"/>
      <c r="O135" s="88"/>
      <c r="P135" s="88"/>
      <c r="Q135" s="88"/>
      <c r="R135" s="88"/>
      <c r="S135" s="88"/>
      <c r="T135" s="88"/>
      <c r="U135" s="88"/>
      <c r="V135" s="88"/>
      <c r="W135" s="88"/>
      <c r="X135" s="69"/>
      <c r="Y135" s="69"/>
      <c r="Z135" s="69"/>
      <c r="AA135" s="69"/>
      <c r="AB135" s="52"/>
      <c r="AC135" s="94"/>
    </row>
    <row r="136" spans="1:29" ht="57" customHeight="1" x14ac:dyDescent="0.25">
      <c r="A136" s="119" t="s">
        <v>348</v>
      </c>
      <c r="B136" s="128" t="s">
        <v>349</v>
      </c>
      <c r="C136" s="328" t="s">
        <v>350</v>
      </c>
      <c r="D136" s="331" t="s">
        <v>351</v>
      </c>
      <c r="E136" s="334"/>
      <c r="F136" s="334"/>
      <c r="G136" s="337" t="s">
        <v>128</v>
      </c>
      <c r="H136" s="340"/>
      <c r="I136" s="334" t="s">
        <v>347</v>
      </c>
      <c r="J136" s="331" t="s">
        <v>350</v>
      </c>
      <c r="K136" s="38"/>
      <c r="L136" s="38"/>
      <c r="M136" s="61"/>
      <c r="N136" s="61"/>
      <c r="O136" s="89"/>
      <c r="P136" s="89"/>
      <c r="Q136" s="89"/>
      <c r="R136" s="89"/>
      <c r="S136" s="89"/>
      <c r="T136" s="89"/>
      <c r="U136" s="89"/>
      <c r="V136" s="89"/>
      <c r="W136" s="89"/>
      <c r="X136" s="70"/>
      <c r="Y136" s="70"/>
      <c r="Z136" s="70"/>
      <c r="AA136" s="70"/>
      <c r="AB136" s="50"/>
      <c r="AC136" s="92"/>
    </row>
    <row r="137" spans="1:29" ht="57" customHeight="1" x14ac:dyDescent="0.25">
      <c r="A137" s="129"/>
      <c r="B137" s="130"/>
      <c r="C137" s="329"/>
      <c r="D137" s="332"/>
      <c r="E137" s="335"/>
      <c r="F137" s="335"/>
      <c r="G137" s="338"/>
      <c r="H137" s="341"/>
      <c r="I137" s="335"/>
      <c r="J137" s="332"/>
      <c r="K137" s="56"/>
      <c r="L137" s="56"/>
      <c r="M137" s="55"/>
      <c r="N137" s="55"/>
      <c r="O137" s="87"/>
      <c r="P137" s="87"/>
      <c r="Q137" s="87"/>
      <c r="R137" s="87"/>
      <c r="S137" s="87"/>
      <c r="T137" s="87"/>
      <c r="U137" s="87"/>
      <c r="V137" s="87"/>
      <c r="W137" s="87"/>
      <c r="X137" s="68"/>
      <c r="Y137" s="68"/>
      <c r="Z137" s="68"/>
      <c r="AA137" s="68"/>
      <c r="AB137" s="51"/>
      <c r="AC137" s="93"/>
    </row>
    <row r="138" spans="1:29" ht="57" customHeight="1" thickBot="1" x14ac:dyDescent="0.3">
      <c r="A138" s="131"/>
      <c r="B138" s="132"/>
      <c r="C138" s="330"/>
      <c r="D138" s="333"/>
      <c r="E138" s="336"/>
      <c r="F138" s="336"/>
      <c r="G138" s="339"/>
      <c r="H138" s="342"/>
      <c r="I138" s="336"/>
      <c r="J138" s="333"/>
      <c r="K138" s="39"/>
      <c r="L138" s="39"/>
      <c r="M138" s="60"/>
      <c r="N138" s="60"/>
      <c r="O138" s="88"/>
      <c r="P138" s="88"/>
      <c r="Q138" s="88"/>
      <c r="R138" s="88"/>
      <c r="S138" s="88"/>
      <c r="T138" s="88"/>
      <c r="U138" s="88"/>
      <c r="V138" s="88"/>
      <c r="W138" s="88"/>
      <c r="X138" s="69"/>
      <c r="Y138" s="69"/>
      <c r="Z138" s="69"/>
      <c r="AA138" s="69"/>
      <c r="AB138" s="52"/>
      <c r="AC138" s="94"/>
    </row>
    <row r="139" spans="1:29" ht="57" customHeight="1" x14ac:dyDescent="0.25">
      <c r="A139" s="119" t="s">
        <v>352</v>
      </c>
      <c r="B139" s="128" t="s">
        <v>353</v>
      </c>
      <c r="C139" s="328" t="s">
        <v>354</v>
      </c>
      <c r="D139" s="331" t="s">
        <v>355</v>
      </c>
      <c r="E139" s="334" t="s">
        <v>356</v>
      </c>
      <c r="F139" s="334"/>
      <c r="G139" s="337" t="s">
        <v>128</v>
      </c>
      <c r="H139" s="340"/>
      <c r="I139" s="334" t="s">
        <v>357</v>
      </c>
      <c r="J139" s="331" t="s">
        <v>354</v>
      </c>
      <c r="K139" s="38"/>
      <c r="L139" s="38"/>
      <c r="M139" s="61"/>
      <c r="N139" s="61"/>
      <c r="O139" s="89"/>
      <c r="P139" s="89"/>
      <c r="Q139" s="89"/>
      <c r="R139" s="89"/>
      <c r="S139" s="89"/>
      <c r="T139" s="89"/>
      <c r="U139" s="89"/>
      <c r="V139" s="89"/>
      <c r="W139" s="89"/>
      <c r="X139" s="70"/>
      <c r="Y139" s="70"/>
      <c r="Z139" s="70"/>
      <c r="AA139" s="70"/>
      <c r="AB139" s="50"/>
      <c r="AC139" s="92"/>
    </row>
    <row r="140" spans="1:29" ht="57" customHeight="1" x14ac:dyDescent="0.25">
      <c r="A140" s="129"/>
      <c r="B140" s="130"/>
      <c r="C140" s="329"/>
      <c r="D140" s="332"/>
      <c r="E140" s="335"/>
      <c r="F140" s="335"/>
      <c r="G140" s="338"/>
      <c r="H140" s="341"/>
      <c r="I140" s="335"/>
      <c r="J140" s="332"/>
      <c r="K140" s="56"/>
      <c r="L140" s="56"/>
      <c r="M140" s="55"/>
      <c r="N140" s="55"/>
      <c r="O140" s="87"/>
      <c r="P140" s="87"/>
      <c r="Q140" s="87"/>
      <c r="R140" s="87"/>
      <c r="S140" s="87"/>
      <c r="T140" s="87"/>
      <c r="U140" s="87"/>
      <c r="V140" s="87"/>
      <c r="W140" s="87"/>
      <c r="X140" s="68"/>
      <c r="Y140" s="68"/>
      <c r="Z140" s="68"/>
      <c r="AA140" s="68"/>
      <c r="AB140" s="51"/>
      <c r="AC140" s="93"/>
    </row>
    <row r="141" spans="1:29" ht="57" customHeight="1" thickBot="1" x14ac:dyDescent="0.3">
      <c r="A141" s="131"/>
      <c r="B141" s="132"/>
      <c r="C141" s="330"/>
      <c r="D141" s="333"/>
      <c r="E141" s="336"/>
      <c r="F141" s="336"/>
      <c r="G141" s="339"/>
      <c r="H141" s="342"/>
      <c r="I141" s="336"/>
      <c r="J141" s="333"/>
      <c r="K141" s="39"/>
      <c r="L141" s="39"/>
      <c r="M141" s="60"/>
      <c r="N141" s="60"/>
      <c r="O141" s="88"/>
      <c r="P141" s="88"/>
      <c r="Q141" s="88"/>
      <c r="R141" s="88"/>
      <c r="S141" s="88"/>
      <c r="T141" s="88"/>
      <c r="U141" s="88"/>
      <c r="V141" s="88"/>
      <c r="W141" s="88"/>
      <c r="X141" s="69"/>
      <c r="Y141" s="69"/>
      <c r="Z141" s="69"/>
      <c r="AA141" s="69"/>
      <c r="AB141" s="52"/>
      <c r="AC141" s="94"/>
    </row>
    <row r="142" spans="1:29" ht="57" customHeight="1" thickBot="1" x14ac:dyDescent="0.3">
      <c r="A142" s="127"/>
      <c r="B142" s="138" t="s">
        <v>358</v>
      </c>
      <c r="C142" s="345" t="s">
        <v>359</v>
      </c>
      <c r="D142" s="346"/>
      <c r="E142" s="148"/>
      <c r="F142" s="138"/>
      <c r="G142" s="138"/>
      <c r="H142" s="138"/>
      <c r="I142" s="138"/>
      <c r="J142" s="138"/>
      <c r="K142" s="135"/>
      <c r="L142" s="135"/>
      <c r="M142" s="135"/>
      <c r="N142" s="135"/>
      <c r="O142" s="141"/>
      <c r="P142" s="141"/>
      <c r="Q142" s="141"/>
      <c r="R142" s="141"/>
      <c r="S142" s="141"/>
      <c r="T142" s="141"/>
      <c r="U142" s="141"/>
      <c r="V142" s="141"/>
      <c r="W142" s="141"/>
      <c r="X142" s="142"/>
      <c r="Y142" s="142"/>
      <c r="Z142" s="142"/>
      <c r="AA142" s="142"/>
      <c r="AB142" s="135"/>
      <c r="AC142" s="54"/>
    </row>
    <row r="143" spans="1:29" ht="57" customHeight="1" x14ac:dyDescent="0.25">
      <c r="A143" s="119" t="s">
        <v>360</v>
      </c>
      <c r="B143" s="128" t="s">
        <v>361</v>
      </c>
      <c r="C143" s="328" t="s">
        <v>362</v>
      </c>
      <c r="D143" s="331" t="s">
        <v>363</v>
      </c>
      <c r="E143" s="334"/>
      <c r="F143" s="334"/>
      <c r="G143" s="337" t="s">
        <v>128</v>
      </c>
      <c r="H143" s="340"/>
      <c r="I143" s="334" t="s">
        <v>364</v>
      </c>
      <c r="J143" s="331" t="s">
        <v>362</v>
      </c>
      <c r="K143" s="38"/>
      <c r="L143" s="38"/>
      <c r="M143" s="61"/>
      <c r="N143" s="61"/>
      <c r="O143" s="89"/>
      <c r="P143" s="89"/>
      <c r="Q143" s="89"/>
      <c r="R143" s="89"/>
      <c r="S143" s="89"/>
      <c r="T143" s="89"/>
      <c r="U143" s="89"/>
      <c r="V143" s="89"/>
      <c r="W143" s="89"/>
      <c r="X143" s="70"/>
      <c r="Y143" s="70"/>
      <c r="Z143" s="70"/>
      <c r="AA143" s="70"/>
      <c r="AB143" s="50"/>
      <c r="AC143" s="92"/>
    </row>
    <row r="144" spans="1:29" ht="57" customHeight="1" x14ac:dyDescent="0.25">
      <c r="A144" s="129"/>
      <c r="B144" s="130"/>
      <c r="C144" s="329"/>
      <c r="D144" s="332"/>
      <c r="E144" s="335"/>
      <c r="F144" s="335"/>
      <c r="G144" s="338"/>
      <c r="H144" s="341"/>
      <c r="I144" s="335"/>
      <c r="J144" s="332"/>
      <c r="K144" s="56"/>
      <c r="L144" s="56"/>
      <c r="M144" s="55"/>
      <c r="N144" s="55"/>
      <c r="O144" s="87"/>
      <c r="P144" s="87"/>
      <c r="Q144" s="87"/>
      <c r="R144" s="87"/>
      <c r="S144" s="87"/>
      <c r="T144" s="87"/>
      <c r="U144" s="87"/>
      <c r="V144" s="87"/>
      <c r="W144" s="87"/>
      <c r="X144" s="68"/>
      <c r="Y144" s="68"/>
      <c r="Z144" s="68"/>
      <c r="AA144" s="68"/>
      <c r="AB144" s="51"/>
      <c r="AC144" s="93"/>
    </row>
    <row r="145" spans="1:29" ht="57" customHeight="1" thickBot="1" x14ac:dyDescent="0.3">
      <c r="A145" s="131"/>
      <c r="B145" s="132"/>
      <c r="C145" s="330"/>
      <c r="D145" s="333"/>
      <c r="E145" s="336"/>
      <c r="F145" s="336"/>
      <c r="G145" s="339"/>
      <c r="H145" s="342"/>
      <c r="I145" s="336"/>
      <c r="J145" s="333"/>
      <c r="K145" s="39"/>
      <c r="L145" s="39"/>
      <c r="M145" s="60"/>
      <c r="N145" s="60"/>
      <c r="O145" s="88"/>
      <c r="P145" s="88"/>
      <c r="Q145" s="88"/>
      <c r="R145" s="88"/>
      <c r="S145" s="88"/>
      <c r="T145" s="88"/>
      <c r="U145" s="88"/>
      <c r="V145" s="88"/>
      <c r="W145" s="88"/>
      <c r="X145" s="69"/>
      <c r="Y145" s="69"/>
      <c r="Z145" s="69"/>
      <c r="AA145" s="69"/>
      <c r="AB145" s="52"/>
      <c r="AC145" s="94"/>
    </row>
    <row r="146" spans="1:29" ht="57" customHeight="1" x14ac:dyDescent="0.25">
      <c r="A146" s="119" t="s">
        <v>365</v>
      </c>
      <c r="B146" s="128" t="s">
        <v>366</v>
      </c>
      <c r="C146" s="328" t="s">
        <v>367</v>
      </c>
      <c r="D146" s="331" t="s">
        <v>368</v>
      </c>
      <c r="E146" s="334"/>
      <c r="F146" s="334"/>
      <c r="G146" s="337" t="s">
        <v>128</v>
      </c>
      <c r="H146" s="340"/>
      <c r="I146" s="334" t="s">
        <v>369</v>
      </c>
      <c r="J146" s="331" t="s">
        <v>367</v>
      </c>
      <c r="K146" s="38"/>
      <c r="L146" s="38"/>
      <c r="M146" s="61"/>
      <c r="N146" s="61"/>
      <c r="O146" s="89"/>
      <c r="P146" s="89"/>
      <c r="Q146" s="89"/>
      <c r="R146" s="89"/>
      <c r="S146" s="89"/>
      <c r="T146" s="89"/>
      <c r="U146" s="89"/>
      <c r="V146" s="89"/>
      <c r="W146" s="89"/>
      <c r="X146" s="70"/>
      <c r="Y146" s="70"/>
      <c r="Z146" s="70"/>
      <c r="AA146" s="70"/>
      <c r="AB146" s="50"/>
      <c r="AC146" s="92"/>
    </row>
    <row r="147" spans="1:29" ht="57" customHeight="1" x14ac:dyDescent="0.25">
      <c r="A147" s="129"/>
      <c r="B147" s="130"/>
      <c r="C147" s="329"/>
      <c r="D147" s="332"/>
      <c r="E147" s="335"/>
      <c r="F147" s="335"/>
      <c r="G147" s="338"/>
      <c r="H147" s="341"/>
      <c r="I147" s="335"/>
      <c r="J147" s="332"/>
      <c r="K147" s="56"/>
      <c r="L147" s="56"/>
      <c r="M147" s="55"/>
      <c r="N147" s="55"/>
      <c r="O147" s="87"/>
      <c r="P147" s="87"/>
      <c r="Q147" s="87"/>
      <c r="R147" s="87"/>
      <c r="S147" s="87"/>
      <c r="T147" s="87"/>
      <c r="U147" s="87"/>
      <c r="V147" s="87"/>
      <c r="W147" s="87"/>
      <c r="X147" s="68"/>
      <c r="Y147" s="68"/>
      <c r="Z147" s="68"/>
      <c r="AA147" s="68"/>
      <c r="AB147" s="51"/>
      <c r="AC147" s="93"/>
    </row>
    <row r="148" spans="1:29" ht="57" customHeight="1" thickBot="1" x14ac:dyDescent="0.3">
      <c r="A148" s="131"/>
      <c r="B148" s="132"/>
      <c r="C148" s="330"/>
      <c r="D148" s="333"/>
      <c r="E148" s="336"/>
      <c r="F148" s="336"/>
      <c r="G148" s="339"/>
      <c r="H148" s="342"/>
      <c r="I148" s="336"/>
      <c r="J148" s="333"/>
      <c r="K148" s="39"/>
      <c r="L148" s="39"/>
      <c r="M148" s="60"/>
      <c r="N148" s="60"/>
      <c r="O148" s="88"/>
      <c r="P148" s="88"/>
      <c r="Q148" s="88"/>
      <c r="R148" s="88"/>
      <c r="S148" s="88"/>
      <c r="T148" s="88"/>
      <c r="U148" s="88"/>
      <c r="V148" s="88"/>
      <c r="W148" s="88"/>
      <c r="X148" s="69"/>
      <c r="Y148" s="69"/>
      <c r="Z148" s="69"/>
      <c r="AA148" s="69"/>
      <c r="AB148" s="52"/>
      <c r="AC148" s="94"/>
    </row>
    <row r="149" spans="1:29" ht="57" customHeight="1" x14ac:dyDescent="0.25">
      <c r="A149" s="119" t="s">
        <v>370</v>
      </c>
      <c r="B149" s="128" t="s">
        <v>371</v>
      </c>
      <c r="C149" s="328" t="s">
        <v>372</v>
      </c>
      <c r="D149" s="331" t="s">
        <v>373</v>
      </c>
      <c r="E149" s="334"/>
      <c r="F149" s="334"/>
      <c r="G149" s="337" t="s">
        <v>128</v>
      </c>
      <c r="H149" s="340"/>
      <c r="I149" s="334" t="s">
        <v>374</v>
      </c>
      <c r="J149" s="331" t="s">
        <v>372</v>
      </c>
      <c r="K149" s="38"/>
      <c r="L149" s="38"/>
      <c r="M149" s="61"/>
      <c r="N149" s="61"/>
      <c r="O149" s="89"/>
      <c r="P149" s="89"/>
      <c r="Q149" s="89"/>
      <c r="R149" s="89"/>
      <c r="S149" s="89"/>
      <c r="T149" s="89"/>
      <c r="U149" s="89"/>
      <c r="V149" s="89"/>
      <c r="W149" s="89"/>
      <c r="X149" s="70"/>
      <c r="Y149" s="70"/>
      <c r="Z149" s="70"/>
      <c r="AA149" s="70"/>
      <c r="AB149" s="50"/>
      <c r="AC149" s="92"/>
    </row>
    <row r="150" spans="1:29" ht="57" customHeight="1" x14ac:dyDescent="0.25">
      <c r="A150" s="129"/>
      <c r="B150" s="130"/>
      <c r="C150" s="329"/>
      <c r="D150" s="332"/>
      <c r="E150" s="335"/>
      <c r="F150" s="335"/>
      <c r="G150" s="338"/>
      <c r="H150" s="341"/>
      <c r="I150" s="335"/>
      <c r="J150" s="332"/>
      <c r="K150" s="56"/>
      <c r="L150" s="56"/>
      <c r="M150" s="55"/>
      <c r="N150" s="55"/>
      <c r="O150" s="87"/>
      <c r="P150" s="87"/>
      <c r="Q150" s="87"/>
      <c r="R150" s="87"/>
      <c r="S150" s="87"/>
      <c r="T150" s="87"/>
      <c r="U150" s="87"/>
      <c r="V150" s="87"/>
      <c r="W150" s="87"/>
      <c r="X150" s="68"/>
      <c r="Y150" s="68"/>
      <c r="Z150" s="68"/>
      <c r="AA150" s="68"/>
      <c r="AB150" s="51"/>
      <c r="AC150" s="93"/>
    </row>
    <row r="151" spans="1:29" ht="57" customHeight="1" thickBot="1" x14ac:dyDescent="0.3">
      <c r="A151" s="131"/>
      <c r="B151" s="132"/>
      <c r="C151" s="330"/>
      <c r="D151" s="333"/>
      <c r="E151" s="336"/>
      <c r="F151" s="336"/>
      <c r="G151" s="339"/>
      <c r="H151" s="342"/>
      <c r="I151" s="336"/>
      <c r="J151" s="333"/>
      <c r="K151" s="39"/>
      <c r="L151" s="39"/>
      <c r="M151" s="60"/>
      <c r="N151" s="60"/>
      <c r="O151" s="88"/>
      <c r="P151" s="88"/>
      <c r="Q151" s="88"/>
      <c r="R151" s="88"/>
      <c r="S151" s="88"/>
      <c r="T151" s="88"/>
      <c r="U151" s="88"/>
      <c r="V151" s="88"/>
      <c r="W151" s="88"/>
      <c r="X151" s="69"/>
      <c r="Y151" s="69"/>
      <c r="Z151" s="69"/>
      <c r="AA151" s="69"/>
      <c r="AB151" s="52"/>
      <c r="AC151" s="94"/>
    </row>
    <row r="152" spans="1:29" ht="57" customHeight="1" x14ac:dyDescent="0.25">
      <c r="A152" s="119" t="s">
        <v>375</v>
      </c>
      <c r="B152" s="128" t="s">
        <v>376</v>
      </c>
      <c r="C152" s="328" t="s">
        <v>377</v>
      </c>
      <c r="D152" s="331" t="s">
        <v>378</v>
      </c>
      <c r="E152" s="334"/>
      <c r="F152" s="334"/>
      <c r="G152" s="337" t="s">
        <v>128</v>
      </c>
      <c r="H152" s="340"/>
      <c r="I152" s="334" t="s">
        <v>379</v>
      </c>
      <c r="J152" s="331" t="s">
        <v>380</v>
      </c>
      <c r="K152" s="38"/>
      <c r="L152" s="38"/>
      <c r="M152" s="61"/>
      <c r="N152" s="61"/>
      <c r="O152" s="89"/>
      <c r="P152" s="89"/>
      <c r="Q152" s="89"/>
      <c r="R152" s="89"/>
      <c r="S152" s="89"/>
      <c r="T152" s="89"/>
      <c r="U152" s="89"/>
      <c r="V152" s="89"/>
      <c r="W152" s="89"/>
      <c r="X152" s="70"/>
      <c r="Y152" s="70"/>
      <c r="Z152" s="70"/>
      <c r="AA152" s="70"/>
      <c r="AB152" s="50"/>
      <c r="AC152" s="92"/>
    </row>
    <row r="153" spans="1:29" ht="57" customHeight="1" x14ac:dyDescent="0.25">
      <c r="A153" s="129"/>
      <c r="B153" s="130"/>
      <c r="C153" s="329"/>
      <c r="D153" s="332"/>
      <c r="E153" s="335"/>
      <c r="F153" s="335"/>
      <c r="G153" s="338"/>
      <c r="H153" s="341"/>
      <c r="I153" s="335"/>
      <c r="J153" s="332"/>
      <c r="K153" s="56"/>
      <c r="L153" s="56"/>
      <c r="M153" s="55"/>
      <c r="N153" s="55"/>
      <c r="O153" s="87"/>
      <c r="P153" s="87"/>
      <c r="Q153" s="87"/>
      <c r="R153" s="87"/>
      <c r="S153" s="87"/>
      <c r="T153" s="87"/>
      <c r="U153" s="87"/>
      <c r="V153" s="87"/>
      <c r="W153" s="87"/>
      <c r="X153" s="68"/>
      <c r="Y153" s="68"/>
      <c r="Z153" s="68"/>
      <c r="AA153" s="68"/>
      <c r="AB153" s="51"/>
      <c r="AC153" s="93"/>
    </row>
    <row r="154" spans="1:29" ht="57" customHeight="1" thickBot="1" x14ac:dyDescent="0.3">
      <c r="A154" s="131"/>
      <c r="B154" s="132"/>
      <c r="C154" s="330"/>
      <c r="D154" s="333"/>
      <c r="E154" s="336"/>
      <c r="F154" s="336"/>
      <c r="G154" s="339"/>
      <c r="H154" s="342"/>
      <c r="I154" s="336"/>
      <c r="J154" s="333"/>
      <c r="K154" s="39"/>
      <c r="L154" s="39"/>
      <c r="M154" s="60"/>
      <c r="N154" s="60"/>
      <c r="O154" s="88"/>
      <c r="P154" s="88"/>
      <c r="Q154" s="88"/>
      <c r="R154" s="88"/>
      <c r="S154" s="88"/>
      <c r="T154" s="88"/>
      <c r="U154" s="88"/>
      <c r="V154" s="88"/>
      <c r="W154" s="88"/>
      <c r="X154" s="69"/>
      <c r="Y154" s="69"/>
      <c r="Z154" s="69"/>
      <c r="AA154" s="69"/>
      <c r="AB154" s="52"/>
      <c r="AC154" s="94"/>
    </row>
    <row r="155" spans="1:29" ht="57" customHeight="1" thickBot="1" x14ac:dyDescent="0.3">
      <c r="A155" s="149"/>
      <c r="B155" s="146" t="s">
        <v>381</v>
      </c>
      <c r="C155" s="345" t="s">
        <v>382</v>
      </c>
      <c r="D155" s="346"/>
      <c r="E155" s="148"/>
      <c r="F155" s="138"/>
      <c r="G155" s="138"/>
      <c r="H155" s="138"/>
      <c r="I155" s="138"/>
      <c r="J155" s="138"/>
      <c r="K155" s="135"/>
      <c r="L155" s="135"/>
      <c r="M155" s="135"/>
      <c r="N155" s="135"/>
      <c r="O155" s="141"/>
      <c r="P155" s="141"/>
      <c r="Q155" s="141"/>
      <c r="R155" s="141"/>
      <c r="S155" s="141"/>
      <c r="T155" s="141"/>
      <c r="U155" s="141"/>
      <c r="V155" s="141"/>
      <c r="W155" s="141"/>
      <c r="X155" s="142"/>
      <c r="Y155" s="142"/>
      <c r="Z155" s="142"/>
      <c r="AA155" s="142"/>
      <c r="AB155" s="135"/>
      <c r="AC155" s="54"/>
    </row>
    <row r="156" spans="1:29" ht="57" customHeight="1" x14ac:dyDescent="0.25">
      <c r="A156" s="119" t="s">
        <v>383</v>
      </c>
      <c r="B156" s="128" t="s">
        <v>384</v>
      </c>
      <c r="C156" s="328" t="s">
        <v>385</v>
      </c>
      <c r="D156" s="331" t="s">
        <v>386</v>
      </c>
      <c r="E156" s="334"/>
      <c r="F156" s="334"/>
      <c r="G156" s="337" t="s">
        <v>128</v>
      </c>
      <c r="H156" s="340"/>
      <c r="I156" s="334" t="s">
        <v>387</v>
      </c>
      <c r="J156" s="331" t="s">
        <v>385</v>
      </c>
      <c r="K156" s="38"/>
      <c r="L156" s="38"/>
      <c r="M156" s="61"/>
      <c r="N156" s="61"/>
      <c r="O156" s="89"/>
      <c r="P156" s="89"/>
      <c r="Q156" s="89"/>
      <c r="R156" s="89"/>
      <c r="S156" s="89"/>
      <c r="T156" s="89"/>
      <c r="U156" s="89"/>
      <c r="V156" s="89"/>
      <c r="W156" s="89"/>
      <c r="X156" s="70"/>
      <c r="Y156" s="70"/>
      <c r="Z156" s="70"/>
      <c r="AA156" s="70"/>
      <c r="AB156" s="50"/>
      <c r="AC156" s="92"/>
    </row>
    <row r="157" spans="1:29" ht="57" customHeight="1" x14ac:dyDescent="0.25">
      <c r="A157" s="129"/>
      <c r="B157" s="130"/>
      <c r="C157" s="329"/>
      <c r="D157" s="332"/>
      <c r="E157" s="335"/>
      <c r="F157" s="335"/>
      <c r="G157" s="338"/>
      <c r="H157" s="341"/>
      <c r="I157" s="335"/>
      <c r="J157" s="332"/>
      <c r="K157" s="56"/>
      <c r="L157" s="56"/>
      <c r="M157" s="55"/>
      <c r="N157" s="55"/>
      <c r="O157" s="87"/>
      <c r="P157" s="87"/>
      <c r="Q157" s="87"/>
      <c r="R157" s="87"/>
      <c r="S157" s="87"/>
      <c r="T157" s="87"/>
      <c r="U157" s="87"/>
      <c r="V157" s="87"/>
      <c r="W157" s="87"/>
      <c r="X157" s="68"/>
      <c r="Y157" s="68"/>
      <c r="Z157" s="68"/>
      <c r="AA157" s="68"/>
      <c r="AB157" s="51"/>
      <c r="AC157" s="93"/>
    </row>
    <row r="158" spans="1:29" ht="57" customHeight="1" thickBot="1" x14ac:dyDescent="0.3">
      <c r="A158" s="131"/>
      <c r="B158" s="132"/>
      <c r="C158" s="330"/>
      <c r="D158" s="333"/>
      <c r="E158" s="336"/>
      <c r="F158" s="336"/>
      <c r="G158" s="339"/>
      <c r="H158" s="342"/>
      <c r="I158" s="336"/>
      <c r="J158" s="333"/>
      <c r="K158" s="39"/>
      <c r="L158" s="39"/>
      <c r="M158" s="60"/>
      <c r="N158" s="60"/>
      <c r="O158" s="88"/>
      <c r="P158" s="88"/>
      <c r="Q158" s="88"/>
      <c r="R158" s="88"/>
      <c r="S158" s="88"/>
      <c r="T158" s="88"/>
      <c r="U158" s="88"/>
      <c r="V158" s="88"/>
      <c r="W158" s="88"/>
      <c r="X158" s="69"/>
      <c r="Y158" s="69"/>
      <c r="Z158" s="69"/>
      <c r="AA158" s="69"/>
      <c r="AB158" s="52"/>
      <c r="AC158" s="94"/>
    </row>
    <row r="159" spans="1:29" ht="57" customHeight="1" x14ac:dyDescent="0.25">
      <c r="A159" s="119" t="s">
        <v>388</v>
      </c>
      <c r="B159" s="128" t="s">
        <v>389</v>
      </c>
      <c r="C159" s="328" t="s">
        <v>390</v>
      </c>
      <c r="D159" s="331" t="s">
        <v>391</v>
      </c>
      <c r="E159" s="334"/>
      <c r="F159" s="334"/>
      <c r="G159" s="337" t="s">
        <v>128</v>
      </c>
      <c r="H159" s="340"/>
      <c r="I159" s="334" t="s">
        <v>392</v>
      </c>
      <c r="J159" s="331" t="s">
        <v>393</v>
      </c>
      <c r="K159" s="38"/>
      <c r="L159" s="38"/>
      <c r="M159" s="61"/>
      <c r="N159" s="61"/>
      <c r="O159" s="89"/>
      <c r="P159" s="89"/>
      <c r="Q159" s="89"/>
      <c r="R159" s="89"/>
      <c r="S159" s="89"/>
      <c r="T159" s="89"/>
      <c r="U159" s="89"/>
      <c r="V159" s="89"/>
      <c r="W159" s="89"/>
      <c r="X159" s="70"/>
      <c r="Y159" s="70"/>
      <c r="Z159" s="70"/>
      <c r="AA159" s="70"/>
      <c r="AB159" s="50"/>
      <c r="AC159" s="92"/>
    </row>
    <row r="160" spans="1:29" ht="57" customHeight="1" x14ac:dyDescent="0.25">
      <c r="A160" s="129"/>
      <c r="B160" s="130"/>
      <c r="C160" s="329"/>
      <c r="D160" s="332"/>
      <c r="E160" s="335"/>
      <c r="F160" s="335"/>
      <c r="G160" s="338"/>
      <c r="H160" s="341"/>
      <c r="I160" s="335"/>
      <c r="J160" s="332"/>
      <c r="K160" s="56"/>
      <c r="L160" s="56"/>
      <c r="M160" s="55"/>
      <c r="N160" s="55"/>
      <c r="O160" s="87"/>
      <c r="P160" s="87"/>
      <c r="Q160" s="87"/>
      <c r="R160" s="87"/>
      <c r="S160" s="87"/>
      <c r="T160" s="87"/>
      <c r="U160" s="87"/>
      <c r="V160" s="87"/>
      <c r="W160" s="87"/>
      <c r="X160" s="68"/>
      <c r="Y160" s="68"/>
      <c r="Z160" s="68"/>
      <c r="AA160" s="68"/>
      <c r="AB160" s="51"/>
      <c r="AC160" s="93"/>
    </row>
    <row r="161" spans="1:29" ht="57" customHeight="1" thickBot="1" x14ac:dyDescent="0.3">
      <c r="A161" s="131"/>
      <c r="B161" s="132"/>
      <c r="C161" s="330"/>
      <c r="D161" s="333"/>
      <c r="E161" s="336"/>
      <c r="F161" s="336"/>
      <c r="G161" s="339"/>
      <c r="H161" s="342"/>
      <c r="I161" s="336"/>
      <c r="J161" s="333"/>
      <c r="K161" s="39"/>
      <c r="L161" s="39"/>
      <c r="M161" s="60"/>
      <c r="N161" s="60"/>
      <c r="O161" s="88"/>
      <c r="P161" s="88"/>
      <c r="Q161" s="88"/>
      <c r="R161" s="88"/>
      <c r="S161" s="88"/>
      <c r="T161" s="88"/>
      <c r="U161" s="88"/>
      <c r="V161" s="88"/>
      <c r="W161" s="88"/>
      <c r="X161" s="69"/>
      <c r="Y161" s="69"/>
      <c r="Z161" s="69"/>
      <c r="AA161" s="69"/>
      <c r="AB161" s="52"/>
      <c r="AC161" s="94"/>
    </row>
    <row r="162" spans="1:29" ht="57" customHeight="1" thickBot="1" x14ac:dyDescent="0.3">
      <c r="A162" s="149"/>
      <c r="B162" s="146" t="s">
        <v>394</v>
      </c>
      <c r="C162" s="150"/>
      <c r="D162" s="151"/>
      <c r="E162" s="151"/>
      <c r="F162" s="151"/>
      <c r="G162" s="151"/>
      <c r="H162" s="151"/>
      <c r="I162" s="151"/>
      <c r="J162" s="151"/>
      <c r="K162" s="151"/>
      <c r="L162" s="151"/>
      <c r="M162" s="151"/>
      <c r="N162" s="151"/>
      <c r="O162" s="151"/>
      <c r="P162" s="141"/>
      <c r="Q162" s="141"/>
      <c r="R162" s="141"/>
      <c r="S162" s="141"/>
      <c r="T162" s="141"/>
      <c r="U162" s="141"/>
      <c r="V162" s="141"/>
      <c r="W162" s="141"/>
      <c r="X162" s="142"/>
      <c r="Y162" s="142"/>
      <c r="Z162" s="142"/>
      <c r="AA162" s="142"/>
      <c r="AB162" s="135"/>
      <c r="AC162" s="54"/>
    </row>
    <row r="163" spans="1:29" ht="57" customHeight="1" x14ac:dyDescent="0.25">
      <c r="A163" s="119" t="s">
        <v>395</v>
      </c>
      <c r="B163" s="128" t="s">
        <v>396</v>
      </c>
      <c r="C163" s="328" t="s">
        <v>397</v>
      </c>
      <c r="D163" s="331" t="s">
        <v>398</v>
      </c>
      <c r="E163" s="334"/>
      <c r="F163" s="334"/>
      <c r="G163" s="337" t="s">
        <v>128</v>
      </c>
      <c r="H163" s="340"/>
      <c r="I163" s="334" t="s">
        <v>399</v>
      </c>
      <c r="J163" s="331" t="s">
        <v>397</v>
      </c>
      <c r="K163" s="38"/>
      <c r="L163" s="38"/>
      <c r="M163" s="61"/>
      <c r="N163" s="61"/>
      <c r="O163" s="89"/>
      <c r="P163" s="89"/>
      <c r="Q163" s="89"/>
      <c r="R163" s="89"/>
      <c r="S163" s="89"/>
      <c r="T163" s="89"/>
      <c r="U163" s="89"/>
      <c r="V163" s="89"/>
      <c r="W163" s="89"/>
      <c r="X163" s="70"/>
      <c r="Y163" s="70"/>
      <c r="Z163" s="70"/>
      <c r="AA163" s="70"/>
      <c r="AB163" s="50"/>
      <c r="AC163" s="92"/>
    </row>
    <row r="164" spans="1:29" ht="57" customHeight="1" x14ac:dyDescent="0.25">
      <c r="A164" s="129"/>
      <c r="B164" s="130"/>
      <c r="C164" s="329"/>
      <c r="D164" s="332"/>
      <c r="E164" s="335"/>
      <c r="F164" s="335"/>
      <c r="G164" s="338"/>
      <c r="H164" s="341"/>
      <c r="I164" s="335"/>
      <c r="J164" s="332"/>
      <c r="K164" s="56"/>
      <c r="L164" s="56"/>
      <c r="M164" s="55"/>
      <c r="N164" s="55"/>
      <c r="O164" s="87"/>
      <c r="P164" s="87"/>
      <c r="Q164" s="87"/>
      <c r="R164" s="87"/>
      <c r="S164" s="87"/>
      <c r="T164" s="87"/>
      <c r="U164" s="87"/>
      <c r="V164" s="87"/>
      <c r="W164" s="87"/>
      <c r="X164" s="68"/>
      <c r="Y164" s="68"/>
      <c r="Z164" s="68"/>
      <c r="AA164" s="68"/>
      <c r="AB164" s="51"/>
      <c r="AC164" s="93"/>
    </row>
    <row r="165" spans="1:29" ht="57" customHeight="1" thickBot="1" x14ac:dyDescent="0.3">
      <c r="A165" s="131"/>
      <c r="B165" s="132"/>
      <c r="C165" s="330"/>
      <c r="D165" s="333"/>
      <c r="E165" s="336"/>
      <c r="F165" s="336"/>
      <c r="G165" s="339"/>
      <c r="H165" s="342"/>
      <c r="I165" s="336"/>
      <c r="J165" s="333"/>
      <c r="K165" s="39"/>
      <c r="L165" s="39"/>
      <c r="M165" s="60"/>
      <c r="N165" s="60"/>
      <c r="O165" s="88"/>
      <c r="P165" s="88"/>
      <c r="Q165" s="88"/>
      <c r="R165" s="88"/>
      <c r="S165" s="88"/>
      <c r="T165" s="88"/>
      <c r="U165" s="88"/>
      <c r="V165" s="88"/>
      <c r="W165" s="88"/>
      <c r="X165" s="69"/>
      <c r="Y165" s="69"/>
      <c r="Z165" s="69"/>
      <c r="AA165" s="69"/>
      <c r="AB165" s="52"/>
      <c r="AC165" s="94"/>
    </row>
    <row r="166" spans="1:29" ht="57" customHeight="1" x14ac:dyDescent="0.25">
      <c r="A166" s="119" t="s">
        <v>400</v>
      </c>
      <c r="B166" s="128" t="s">
        <v>401</v>
      </c>
      <c r="C166" s="328" t="s">
        <v>402</v>
      </c>
      <c r="D166" s="331" t="s">
        <v>403</v>
      </c>
      <c r="E166" s="334"/>
      <c r="F166" s="334"/>
      <c r="G166" s="337" t="s">
        <v>128</v>
      </c>
      <c r="H166" s="340"/>
      <c r="I166" s="334" t="s">
        <v>399</v>
      </c>
      <c r="J166" s="331" t="s">
        <v>402</v>
      </c>
      <c r="K166" s="38"/>
      <c r="L166" s="38"/>
      <c r="M166" s="61"/>
      <c r="N166" s="61"/>
      <c r="O166" s="89"/>
      <c r="P166" s="89"/>
      <c r="Q166" s="89"/>
      <c r="R166" s="89"/>
      <c r="S166" s="89"/>
      <c r="T166" s="89"/>
      <c r="U166" s="89"/>
      <c r="V166" s="89"/>
      <c r="W166" s="89"/>
      <c r="X166" s="70"/>
      <c r="Y166" s="70"/>
      <c r="Z166" s="70"/>
      <c r="AA166" s="70"/>
      <c r="AB166" s="50"/>
      <c r="AC166" s="92"/>
    </row>
    <row r="167" spans="1:29" ht="57" customHeight="1" x14ac:dyDescent="0.25">
      <c r="A167" s="129"/>
      <c r="B167" s="130"/>
      <c r="C167" s="329"/>
      <c r="D167" s="332"/>
      <c r="E167" s="335" t="s">
        <v>404</v>
      </c>
      <c r="F167" s="335" t="s">
        <v>404</v>
      </c>
      <c r="G167" s="338"/>
      <c r="H167" s="341"/>
      <c r="I167" s="335"/>
      <c r="J167" s="332"/>
      <c r="K167" s="56"/>
      <c r="L167" s="56"/>
      <c r="M167" s="55"/>
      <c r="N167" s="55"/>
      <c r="O167" s="87"/>
      <c r="P167" s="87"/>
      <c r="Q167" s="87"/>
      <c r="R167" s="87"/>
      <c r="S167" s="87"/>
      <c r="T167" s="87"/>
      <c r="U167" s="87"/>
      <c r="V167" s="87"/>
      <c r="W167" s="87"/>
      <c r="X167" s="68"/>
      <c r="Y167" s="68"/>
      <c r="Z167" s="68"/>
      <c r="AA167" s="68"/>
      <c r="AB167" s="51"/>
      <c r="AC167" s="93"/>
    </row>
    <row r="168" spans="1:29" ht="57" customHeight="1" thickBot="1" x14ac:dyDescent="0.3">
      <c r="A168" s="131"/>
      <c r="B168" s="132"/>
      <c r="C168" s="330"/>
      <c r="D168" s="333"/>
      <c r="E168" s="336"/>
      <c r="F168" s="336"/>
      <c r="G168" s="339"/>
      <c r="H168" s="342"/>
      <c r="I168" s="336"/>
      <c r="J168" s="333"/>
      <c r="K168" s="39"/>
      <c r="L168" s="39"/>
      <c r="M168" s="60"/>
      <c r="N168" s="60"/>
      <c r="O168" s="88"/>
      <c r="P168" s="88"/>
      <c r="Q168" s="88"/>
      <c r="R168" s="88"/>
      <c r="S168" s="88"/>
      <c r="T168" s="88"/>
      <c r="U168" s="88"/>
      <c r="V168" s="88"/>
      <c r="W168" s="88"/>
      <c r="X168" s="69"/>
      <c r="Y168" s="69"/>
      <c r="Z168" s="69"/>
      <c r="AA168" s="69"/>
      <c r="AB168" s="52"/>
      <c r="AC168" s="94"/>
    </row>
    <row r="169" spans="1:29" ht="57" customHeight="1" x14ac:dyDescent="0.25">
      <c r="A169" s="119" t="s">
        <v>405</v>
      </c>
      <c r="B169" s="128" t="s">
        <v>406</v>
      </c>
      <c r="C169" s="328" t="s">
        <v>407</v>
      </c>
      <c r="D169" s="331" t="s">
        <v>408</v>
      </c>
      <c r="E169" s="334"/>
      <c r="F169" s="334"/>
      <c r="G169" s="337" t="s">
        <v>128</v>
      </c>
      <c r="H169" s="340"/>
      <c r="I169" s="334" t="s">
        <v>399</v>
      </c>
      <c r="J169" s="331" t="s">
        <v>409</v>
      </c>
      <c r="K169" s="38"/>
      <c r="L169" s="38"/>
      <c r="M169" s="61"/>
      <c r="N169" s="61"/>
      <c r="O169" s="89"/>
      <c r="P169" s="89"/>
      <c r="Q169" s="89"/>
      <c r="R169" s="89"/>
      <c r="S169" s="89"/>
      <c r="T169" s="89"/>
      <c r="U169" s="89"/>
      <c r="V169" s="89"/>
      <c r="W169" s="89"/>
      <c r="X169" s="70"/>
      <c r="Y169" s="70"/>
      <c r="Z169" s="70"/>
      <c r="AA169" s="70"/>
      <c r="AB169" s="50"/>
      <c r="AC169" s="92"/>
    </row>
    <row r="170" spans="1:29" ht="57" customHeight="1" x14ac:dyDescent="0.25">
      <c r="A170" s="129"/>
      <c r="B170" s="130"/>
      <c r="C170" s="329"/>
      <c r="D170" s="332"/>
      <c r="E170" s="335"/>
      <c r="F170" s="335"/>
      <c r="G170" s="338"/>
      <c r="H170" s="341"/>
      <c r="I170" s="335"/>
      <c r="J170" s="332"/>
      <c r="K170" s="56"/>
      <c r="L170" s="56"/>
      <c r="M170" s="55"/>
      <c r="N170" s="55"/>
      <c r="O170" s="87"/>
      <c r="P170" s="87"/>
      <c r="Q170" s="87"/>
      <c r="R170" s="87"/>
      <c r="S170" s="87"/>
      <c r="T170" s="87"/>
      <c r="U170" s="87"/>
      <c r="V170" s="87"/>
      <c r="W170" s="87"/>
      <c r="X170" s="68"/>
      <c r="Y170" s="68"/>
      <c r="Z170" s="68"/>
      <c r="AA170" s="68"/>
      <c r="AB170" s="51"/>
      <c r="AC170" s="93"/>
    </row>
    <row r="171" spans="1:29" ht="57" customHeight="1" thickBot="1" x14ac:dyDescent="0.3">
      <c r="A171" s="131"/>
      <c r="B171" s="132"/>
      <c r="C171" s="330"/>
      <c r="D171" s="333"/>
      <c r="E171" s="336"/>
      <c r="F171" s="336"/>
      <c r="G171" s="339"/>
      <c r="H171" s="342"/>
      <c r="I171" s="336"/>
      <c r="J171" s="333"/>
      <c r="K171" s="39"/>
      <c r="L171" s="39"/>
      <c r="M171" s="60"/>
      <c r="N171" s="60"/>
      <c r="O171" s="88"/>
      <c r="P171" s="88"/>
      <c r="Q171" s="88"/>
      <c r="R171" s="88"/>
      <c r="S171" s="88"/>
      <c r="T171" s="88"/>
      <c r="U171" s="88"/>
      <c r="V171" s="88"/>
      <c r="W171" s="88"/>
      <c r="X171" s="69"/>
      <c r="Y171" s="69"/>
      <c r="Z171" s="69"/>
      <c r="AA171" s="69"/>
      <c r="AB171" s="52"/>
      <c r="AC171" s="94"/>
    </row>
    <row r="172" spans="1:29" ht="57" customHeight="1" thickBot="1" x14ac:dyDescent="0.3">
      <c r="A172" s="149"/>
      <c r="B172" s="146" t="s">
        <v>410</v>
      </c>
      <c r="C172" s="345" t="s">
        <v>411</v>
      </c>
      <c r="D172" s="346"/>
      <c r="E172" s="148"/>
      <c r="F172" s="138"/>
      <c r="G172" s="138"/>
      <c r="H172" s="138"/>
      <c r="I172" s="138"/>
      <c r="J172" s="138"/>
      <c r="K172" s="135"/>
      <c r="L172" s="135"/>
      <c r="M172" s="135"/>
      <c r="N172" s="135"/>
      <c r="O172" s="141"/>
      <c r="P172" s="141"/>
      <c r="Q172" s="141"/>
      <c r="R172" s="141"/>
      <c r="S172" s="141"/>
      <c r="T172" s="141"/>
      <c r="U172" s="141"/>
      <c r="V172" s="141"/>
      <c r="W172" s="141"/>
      <c r="X172" s="142"/>
      <c r="Y172" s="142"/>
      <c r="Z172" s="142"/>
      <c r="AA172" s="142"/>
      <c r="AB172" s="135"/>
      <c r="AC172" s="54"/>
    </row>
    <row r="173" spans="1:29" ht="57" customHeight="1" x14ac:dyDescent="0.25">
      <c r="A173" s="119" t="s">
        <v>412</v>
      </c>
      <c r="B173" s="128" t="s">
        <v>413</v>
      </c>
      <c r="C173" s="328" t="s">
        <v>414</v>
      </c>
      <c r="D173" s="331" t="s">
        <v>415</v>
      </c>
      <c r="E173" s="334"/>
      <c r="F173" s="334"/>
      <c r="G173" s="337" t="s">
        <v>128</v>
      </c>
      <c r="H173" s="340"/>
      <c r="I173" s="334"/>
      <c r="J173" s="331" t="s">
        <v>416</v>
      </c>
      <c r="K173" s="38"/>
      <c r="L173" s="38"/>
      <c r="M173" s="61"/>
      <c r="N173" s="61"/>
      <c r="O173" s="89"/>
      <c r="P173" s="89"/>
      <c r="Q173" s="89"/>
      <c r="R173" s="89"/>
      <c r="S173" s="89"/>
      <c r="T173" s="89"/>
      <c r="U173" s="89"/>
      <c r="V173" s="89"/>
      <c r="W173" s="89"/>
      <c r="X173" s="70"/>
      <c r="Y173" s="70"/>
      <c r="Z173" s="70"/>
      <c r="AA173" s="70"/>
      <c r="AB173" s="50"/>
      <c r="AC173" s="92"/>
    </row>
    <row r="174" spans="1:29" ht="57" customHeight="1" x14ac:dyDescent="0.25">
      <c r="A174" s="129"/>
      <c r="B174" s="130"/>
      <c r="C174" s="329"/>
      <c r="D174" s="332"/>
      <c r="E174" s="335"/>
      <c r="F174" s="335"/>
      <c r="G174" s="338"/>
      <c r="H174" s="341"/>
      <c r="I174" s="335"/>
      <c r="J174" s="332"/>
      <c r="K174" s="56"/>
      <c r="L174" s="56"/>
      <c r="M174" s="55"/>
      <c r="N174" s="55"/>
      <c r="O174" s="87"/>
      <c r="P174" s="87"/>
      <c r="Q174" s="87"/>
      <c r="R174" s="87"/>
      <c r="S174" s="87"/>
      <c r="T174" s="87"/>
      <c r="U174" s="87"/>
      <c r="V174" s="87"/>
      <c r="W174" s="87"/>
      <c r="X174" s="68"/>
      <c r="Y174" s="68"/>
      <c r="Z174" s="68"/>
      <c r="AA174" s="68"/>
      <c r="AB174" s="51"/>
      <c r="AC174" s="93"/>
    </row>
    <row r="175" spans="1:29" ht="57" customHeight="1" thickBot="1" x14ac:dyDescent="0.3">
      <c r="A175" s="131"/>
      <c r="B175" s="132"/>
      <c r="C175" s="330"/>
      <c r="D175" s="333"/>
      <c r="E175" s="336"/>
      <c r="F175" s="336"/>
      <c r="G175" s="339"/>
      <c r="H175" s="342"/>
      <c r="I175" s="336"/>
      <c r="J175" s="333"/>
      <c r="K175" s="39"/>
      <c r="L175" s="39"/>
      <c r="M175" s="60"/>
      <c r="N175" s="60"/>
      <c r="O175" s="88"/>
      <c r="P175" s="88"/>
      <c r="Q175" s="88"/>
      <c r="R175" s="88"/>
      <c r="S175" s="88"/>
      <c r="T175" s="88"/>
      <c r="U175" s="88"/>
      <c r="V175" s="88"/>
      <c r="W175" s="88"/>
      <c r="X175" s="69"/>
      <c r="Y175" s="69"/>
      <c r="Z175" s="69"/>
      <c r="AA175" s="69"/>
      <c r="AB175" s="52"/>
      <c r="AC175" s="94"/>
    </row>
    <row r="176" spans="1:29" ht="57" customHeight="1" x14ac:dyDescent="0.25">
      <c r="A176" s="119" t="s">
        <v>417</v>
      </c>
      <c r="B176" s="128" t="s">
        <v>418</v>
      </c>
      <c r="C176" s="328" t="s">
        <v>419</v>
      </c>
      <c r="D176" s="331" t="s">
        <v>415</v>
      </c>
      <c r="E176" s="334"/>
      <c r="F176" s="334"/>
      <c r="G176" s="337" t="s">
        <v>128</v>
      </c>
      <c r="H176" s="340"/>
      <c r="I176" s="334"/>
      <c r="J176" s="331" t="s">
        <v>416</v>
      </c>
      <c r="K176" s="38"/>
      <c r="L176" s="38"/>
      <c r="M176" s="61"/>
      <c r="N176" s="61"/>
      <c r="O176" s="89"/>
      <c r="P176" s="89"/>
      <c r="Q176" s="89"/>
      <c r="R176" s="89"/>
      <c r="S176" s="89"/>
      <c r="T176" s="89"/>
      <c r="U176" s="89"/>
      <c r="V176" s="89"/>
      <c r="W176" s="89"/>
      <c r="X176" s="70"/>
      <c r="Y176" s="70"/>
      <c r="Z176" s="70"/>
      <c r="AA176" s="70"/>
      <c r="AB176" s="50"/>
      <c r="AC176" s="92"/>
    </row>
    <row r="177" spans="1:29" ht="57" customHeight="1" x14ac:dyDescent="0.25">
      <c r="A177" s="129"/>
      <c r="B177" s="130"/>
      <c r="C177" s="329"/>
      <c r="D177" s="332"/>
      <c r="E177" s="335"/>
      <c r="F177" s="335"/>
      <c r="G177" s="338"/>
      <c r="H177" s="341"/>
      <c r="I177" s="335"/>
      <c r="J177" s="332"/>
      <c r="K177" s="56"/>
      <c r="L177" s="56"/>
      <c r="M177" s="55"/>
      <c r="N177" s="55"/>
      <c r="O177" s="87"/>
      <c r="P177" s="87"/>
      <c r="Q177" s="87"/>
      <c r="R177" s="87"/>
      <c r="S177" s="87"/>
      <c r="T177" s="87"/>
      <c r="U177" s="87"/>
      <c r="V177" s="87"/>
      <c r="W177" s="87"/>
      <c r="X177" s="68"/>
      <c r="Y177" s="68"/>
      <c r="Z177" s="68"/>
      <c r="AA177" s="68"/>
      <c r="AB177" s="51"/>
      <c r="AC177" s="93"/>
    </row>
    <row r="178" spans="1:29" ht="57" customHeight="1" thickBot="1" x14ac:dyDescent="0.3">
      <c r="A178" s="131"/>
      <c r="B178" s="132"/>
      <c r="C178" s="330"/>
      <c r="D178" s="333"/>
      <c r="E178" s="336"/>
      <c r="F178" s="336"/>
      <c r="G178" s="339"/>
      <c r="H178" s="342"/>
      <c r="I178" s="336"/>
      <c r="J178" s="333"/>
      <c r="K178" s="39"/>
      <c r="L178" s="39"/>
      <c r="M178" s="60"/>
      <c r="N178" s="60"/>
      <c r="O178" s="88"/>
      <c r="P178" s="88"/>
      <c r="Q178" s="88"/>
      <c r="R178" s="88"/>
      <c r="S178" s="88"/>
      <c r="T178" s="88"/>
      <c r="U178" s="88"/>
      <c r="V178" s="88"/>
      <c r="W178" s="88"/>
      <c r="X178" s="69"/>
      <c r="Y178" s="69"/>
      <c r="Z178" s="69"/>
      <c r="AA178" s="69"/>
      <c r="AB178" s="52"/>
      <c r="AC178" s="94"/>
    </row>
    <row r="179" spans="1:29" ht="57" customHeight="1" thickBot="1" x14ac:dyDescent="0.3">
      <c r="A179" s="125">
        <v>6</v>
      </c>
      <c r="B179" s="143" t="s">
        <v>420</v>
      </c>
      <c r="C179" s="345" t="s">
        <v>421</v>
      </c>
      <c r="D179" s="346"/>
      <c r="E179" s="148"/>
      <c r="F179" s="138"/>
      <c r="G179" s="138"/>
      <c r="H179" s="138"/>
      <c r="I179" s="138"/>
      <c r="J179" s="138"/>
      <c r="K179" s="135"/>
      <c r="L179" s="135"/>
      <c r="M179" s="135"/>
      <c r="N179" s="135"/>
      <c r="O179" s="141"/>
      <c r="P179" s="141"/>
      <c r="Q179" s="141"/>
      <c r="R179" s="141"/>
      <c r="S179" s="141"/>
      <c r="T179" s="141"/>
      <c r="U179" s="141"/>
      <c r="V179" s="141"/>
      <c r="W179" s="141"/>
      <c r="X179" s="142"/>
      <c r="Y179" s="142"/>
      <c r="Z179" s="142"/>
      <c r="AA179" s="142"/>
      <c r="AB179" s="135"/>
      <c r="AC179" s="54"/>
    </row>
    <row r="180" spans="1:29" ht="57" customHeight="1" thickBot="1" x14ac:dyDescent="0.3">
      <c r="A180" s="127"/>
      <c r="B180" s="138" t="s">
        <v>422</v>
      </c>
      <c r="C180" s="345" t="s">
        <v>423</v>
      </c>
      <c r="D180" s="346"/>
      <c r="E180" s="148"/>
      <c r="F180" s="138"/>
      <c r="G180" s="138"/>
      <c r="H180" s="138"/>
      <c r="I180" s="138"/>
      <c r="J180" s="138"/>
      <c r="K180" s="135"/>
      <c r="L180" s="135"/>
      <c r="M180" s="135"/>
      <c r="N180" s="135"/>
      <c r="O180" s="141"/>
      <c r="P180" s="141"/>
      <c r="Q180" s="141"/>
      <c r="R180" s="141"/>
      <c r="S180" s="141"/>
      <c r="T180" s="141"/>
      <c r="U180" s="141"/>
      <c r="V180" s="141"/>
      <c r="W180" s="141"/>
      <c r="X180" s="142"/>
      <c r="Y180" s="142"/>
      <c r="Z180" s="142"/>
      <c r="AA180" s="142"/>
      <c r="AB180" s="135"/>
      <c r="AC180" s="54"/>
    </row>
    <row r="181" spans="1:29" ht="57" customHeight="1" x14ac:dyDescent="0.25">
      <c r="A181" s="119" t="s">
        <v>424</v>
      </c>
      <c r="B181" s="128" t="s">
        <v>425</v>
      </c>
      <c r="C181" s="328" t="s">
        <v>337</v>
      </c>
      <c r="D181" s="331" t="s">
        <v>426</v>
      </c>
      <c r="E181" s="334"/>
      <c r="F181" s="334"/>
      <c r="G181" s="337" t="s">
        <v>128</v>
      </c>
      <c r="H181" s="340"/>
      <c r="I181" s="334" t="s">
        <v>427</v>
      </c>
      <c r="J181" s="331" t="s">
        <v>337</v>
      </c>
      <c r="K181" s="38"/>
      <c r="L181" s="38"/>
      <c r="M181" s="61"/>
      <c r="N181" s="61"/>
      <c r="O181" s="89"/>
      <c r="P181" s="89"/>
      <c r="Q181" s="89"/>
      <c r="R181" s="89"/>
      <c r="S181" s="89"/>
      <c r="T181" s="89"/>
      <c r="U181" s="89"/>
      <c r="V181" s="89"/>
      <c r="W181" s="89"/>
      <c r="X181" s="70"/>
      <c r="Y181" s="70"/>
      <c r="Z181" s="70"/>
      <c r="AA181" s="70"/>
      <c r="AB181" s="50"/>
      <c r="AC181" s="92"/>
    </row>
    <row r="182" spans="1:29" ht="57" customHeight="1" x14ac:dyDescent="0.25">
      <c r="A182" s="129"/>
      <c r="B182" s="130"/>
      <c r="C182" s="329"/>
      <c r="D182" s="332"/>
      <c r="E182" s="335"/>
      <c r="F182" s="335"/>
      <c r="G182" s="338"/>
      <c r="H182" s="341"/>
      <c r="I182" s="335"/>
      <c r="J182" s="332"/>
      <c r="K182" s="56"/>
      <c r="L182" s="56"/>
      <c r="M182" s="55"/>
      <c r="N182" s="55"/>
      <c r="O182" s="87"/>
      <c r="P182" s="87"/>
      <c r="Q182" s="87"/>
      <c r="R182" s="87"/>
      <c r="S182" s="87"/>
      <c r="T182" s="87"/>
      <c r="U182" s="87"/>
      <c r="V182" s="87"/>
      <c r="W182" s="87"/>
      <c r="X182" s="68"/>
      <c r="Y182" s="68"/>
      <c r="Z182" s="68"/>
      <c r="AA182" s="68"/>
      <c r="AB182" s="51"/>
      <c r="AC182" s="93"/>
    </row>
    <row r="183" spans="1:29" ht="57" customHeight="1" thickBot="1" x14ac:dyDescent="0.3">
      <c r="A183" s="131"/>
      <c r="B183" s="132"/>
      <c r="C183" s="330"/>
      <c r="D183" s="333"/>
      <c r="E183" s="336"/>
      <c r="F183" s="336"/>
      <c r="G183" s="339"/>
      <c r="H183" s="342"/>
      <c r="I183" s="336"/>
      <c r="J183" s="333"/>
      <c r="K183" s="39"/>
      <c r="L183" s="39"/>
      <c r="M183" s="60"/>
      <c r="N183" s="60"/>
      <c r="O183" s="88"/>
      <c r="P183" s="88"/>
      <c r="Q183" s="88"/>
      <c r="R183" s="88"/>
      <c r="S183" s="88"/>
      <c r="T183" s="88"/>
      <c r="U183" s="88"/>
      <c r="V183" s="88"/>
      <c r="W183" s="88"/>
      <c r="X183" s="69"/>
      <c r="Y183" s="69"/>
      <c r="Z183" s="69"/>
      <c r="AA183" s="69"/>
      <c r="AB183" s="52"/>
      <c r="AC183" s="94"/>
    </row>
    <row r="184" spans="1:29" ht="57" customHeight="1" x14ac:dyDescent="0.25">
      <c r="A184" s="119" t="s">
        <v>428</v>
      </c>
      <c r="B184" s="128" t="s">
        <v>429</v>
      </c>
      <c r="C184" s="328" t="s">
        <v>430</v>
      </c>
      <c r="D184" s="331" t="s">
        <v>431</v>
      </c>
      <c r="E184" s="334"/>
      <c r="F184" s="334"/>
      <c r="G184" s="337" t="s">
        <v>128</v>
      </c>
      <c r="H184" s="340"/>
      <c r="I184" s="334" t="s">
        <v>427</v>
      </c>
      <c r="J184" s="331" t="s">
        <v>430</v>
      </c>
      <c r="K184" s="38"/>
      <c r="L184" s="38"/>
      <c r="M184" s="61"/>
      <c r="N184" s="61"/>
      <c r="O184" s="89"/>
      <c r="P184" s="89"/>
      <c r="Q184" s="89"/>
      <c r="R184" s="89"/>
      <c r="S184" s="89"/>
      <c r="T184" s="89"/>
      <c r="U184" s="89"/>
      <c r="V184" s="89"/>
      <c r="W184" s="89"/>
      <c r="X184" s="70"/>
      <c r="Y184" s="70"/>
      <c r="Z184" s="70"/>
      <c r="AA184" s="70"/>
      <c r="AB184" s="50"/>
      <c r="AC184" s="92"/>
    </row>
    <row r="185" spans="1:29" ht="57" customHeight="1" x14ac:dyDescent="0.25">
      <c r="A185" s="129"/>
      <c r="B185" s="130"/>
      <c r="C185" s="329"/>
      <c r="D185" s="332"/>
      <c r="E185" s="335"/>
      <c r="F185" s="335"/>
      <c r="G185" s="338"/>
      <c r="H185" s="341"/>
      <c r="I185" s="335"/>
      <c r="J185" s="332"/>
      <c r="K185" s="56"/>
      <c r="L185" s="56"/>
      <c r="M185" s="55"/>
      <c r="N185" s="55"/>
      <c r="O185" s="87"/>
      <c r="P185" s="87"/>
      <c r="Q185" s="87"/>
      <c r="R185" s="87"/>
      <c r="S185" s="87"/>
      <c r="T185" s="87"/>
      <c r="U185" s="87"/>
      <c r="V185" s="87"/>
      <c r="W185" s="87"/>
      <c r="X185" s="68"/>
      <c r="Y185" s="68"/>
      <c r="Z185" s="68"/>
      <c r="AA185" s="68"/>
      <c r="AB185" s="51"/>
      <c r="AC185" s="93"/>
    </row>
    <row r="186" spans="1:29" ht="57" customHeight="1" thickBot="1" x14ac:dyDescent="0.3">
      <c r="A186" s="131"/>
      <c r="B186" s="132"/>
      <c r="C186" s="330"/>
      <c r="D186" s="333"/>
      <c r="E186" s="336"/>
      <c r="F186" s="336"/>
      <c r="G186" s="339"/>
      <c r="H186" s="342"/>
      <c r="I186" s="336"/>
      <c r="J186" s="333"/>
      <c r="K186" s="39"/>
      <c r="L186" s="39"/>
      <c r="M186" s="60"/>
      <c r="N186" s="60"/>
      <c r="O186" s="88"/>
      <c r="P186" s="88"/>
      <c r="Q186" s="88"/>
      <c r="R186" s="88"/>
      <c r="S186" s="88"/>
      <c r="T186" s="88"/>
      <c r="U186" s="88"/>
      <c r="V186" s="88"/>
      <c r="W186" s="88"/>
      <c r="X186" s="69"/>
      <c r="Y186" s="69"/>
      <c r="Z186" s="69"/>
      <c r="AA186" s="69"/>
      <c r="AB186" s="52"/>
      <c r="AC186" s="94"/>
    </row>
    <row r="187" spans="1:29" ht="57" customHeight="1" x14ac:dyDescent="0.25">
      <c r="A187" s="119" t="s">
        <v>432</v>
      </c>
      <c r="B187" s="128" t="s">
        <v>429</v>
      </c>
      <c r="C187" s="328" t="s">
        <v>433</v>
      </c>
      <c r="D187" s="331" t="s">
        <v>434</v>
      </c>
      <c r="E187" s="334"/>
      <c r="F187" s="334"/>
      <c r="G187" s="337" t="s">
        <v>128</v>
      </c>
      <c r="H187" s="340"/>
      <c r="I187" s="334" t="s">
        <v>427</v>
      </c>
      <c r="J187" s="331" t="s">
        <v>435</v>
      </c>
      <c r="K187" s="38"/>
      <c r="L187" s="38"/>
      <c r="M187" s="61"/>
      <c r="N187" s="61"/>
      <c r="O187" s="89"/>
      <c r="P187" s="89"/>
      <c r="Q187" s="89"/>
      <c r="R187" s="89"/>
      <c r="S187" s="89"/>
      <c r="T187" s="89"/>
      <c r="U187" s="89"/>
      <c r="V187" s="89"/>
      <c r="W187" s="89"/>
      <c r="X187" s="70"/>
      <c r="Y187" s="70"/>
      <c r="Z187" s="70"/>
      <c r="AA187" s="70"/>
      <c r="AB187" s="50"/>
      <c r="AC187" s="92"/>
    </row>
    <row r="188" spans="1:29" ht="57" customHeight="1" x14ac:dyDescent="0.25">
      <c r="A188" s="129"/>
      <c r="B188" s="130"/>
      <c r="C188" s="329"/>
      <c r="D188" s="332"/>
      <c r="E188" s="335"/>
      <c r="F188" s="335"/>
      <c r="G188" s="338"/>
      <c r="H188" s="341"/>
      <c r="I188" s="335"/>
      <c r="J188" s="332"/>
      <c r="K188" s="56"/>
      <c r="L188" s="56"/>
      <c r="M188" s="55"/>
      <c r="N188" s="55"/>
      <c r="O188" s="87"/>
      <c r="P188" s="87"/>
      <c r="Q188" s="87"/>
      <c r="R188" s="87"/>
      <c r="S188" s="87"/>
      <c r="T188" s="87"/>
      <c r="U188" s="87"/>
      <c r="V188" s="87"/>
      <c r="W188" s="87"/>
      <c r="X188" s="68"/>
      <c r="Y188" s="68"/>
      <c r="Z188" s="68"/>
      <c r="AA188" s="68"/>
      <c r="AB188" s="51"/>
      <c r="AC188" s="93"/>
    </row>
    <row r="189" spans="1:29" ht="57" customHeight="1" thickBot="1" x14ac:dyDescent="0.3">
      <c r="A189" s="131"/>
      <c r="B189" s="132"/>
      <c r="C189" s="330"/>
      <c r="D189" s="333"/>
      <c r="E189" s="336"/>
      <c r="F189" s="336"/>
      <c r="G189" s="339"/>
      <c r="H189" s="342"/>
      <c r="I189" s="336"/>
      <c r="J189" s="333"/>
      <c r="K189" s="39"/>
      <c r="L189" s="39"/>
      <c r="M189" s="60"/>
      <c r="N189" s="60"/>
      <c r="O189" s="88"/>
      <c r="P189" s="88"/>
      <c r="Q189" s="88"/>
      <c r="R189" s="88"/>
      <c r="S189" s="88"/>
      <c r="T189" s="88"/>
      <c r="U189" s="88"/>
      <c r="V189" s="88"/>
      <c r="W189" s="88"/>
      <c r="X189" s="69"/>
      <c r="Y189" s="69"/>
      <c r="Z189" s="69"/>
      <c r="AA189" s="69"/>
      <c r="AB189" s="52"/>
      <c r="AC189" s="94"/>
    </row>
    <row r="190" spans="1:29" ht="57" customHeight="1" thickBot="1" x14ac:dyDescent="0.3">
      <c r="A190" s="127"/>
      <c r="B190" s="138" t="s">
        <v>436</v>
      </c>
      <c r="C190" s="345" t="s">
        <v>437</v>
      </c>
      <c r="D190" s="346"/>
      <c r="E190" s="148"/>
      <c r="F190" s="138"/>
      <c r="G190" s="138"/>
      <c r="H190" s="138"/>
      <c r="I190" s="138"/>
      <c r="J190" s="138"/>
      <c r="K190" s="135"/>
      <c r="L190" s="135"/>
      <c r="M190" s="135"/>
      <c r="N190" s="135"/>
      <c r="O190" s="141"/>
      <c r="P190" s="141"/>
      <c r="Q190" s="141"/>
      <c r="R190" s="141"/>
      <c r="S190" s="141"/>
      <c r="T190" s="141"/>
      <c r="U190" s="141"/>
      <c r="V190" s="141"/>
      <c r="W190" s="141"/>
      <c r="X190" s="142"/>
      <c r="Y190" s="142"/>
      <c r="Z190" s="142"/>
      <c r="AA190" s="142"/>
      <c r="AB190" s="135"/>
      <c r="AC190" s="54"/>
    </row>
    <row r="191" spans="1:29" ht="57" customHeight="1" x14ac:dyDescent="0.25">
      <c r="A191" s="119" t="s">
        <v>438</v>
      </c>
      <c r="B191" s="128" t="s">
        <v>439</v>
      </c>
      <c r="C191" s="328" t="s">
        <v>440</v>
      </c>
      <c r="D191" s="331" t="s">
        <v>441</v>
      </c>
      <c r="E191" s="334"/>
      <c r="F191" s="334"/>
      <c r="G191" s="337" t="s">
        <v>128</v>
      </c>
      <c r="H191" s="340"/>
      <c r="I191" s="334" t="s">
        <v>442</v>
      </c>
      <c r="J191" s="331" t="s">
        <v>440</v>
      </c>
      <c r="K191" s="38"/>
      <c r="L191" s="38"/>
      <c r="M191" s="61"/>
      <c r="N191" s="61"/>
      <c r="O191" s="89"/>
      <c r="P191" s="89"/>
      <c r="Q191" s="89"/>
      <c r="R191" s="89"/>
      <c r="S191" s="89"/>
      <c r="T191" s="89"/>
      <c r="U191" s="89"/>
      <c r="V191" s="89"/>
      <c r="W191" s="89"/>
      <c r="X191" s="70"/>
      <c r="Y191" s="70"/>
      <c r="Z191" s="70"/>
      <c r="AA191" s="70"/>
      <c r="AB191" s="50"/>
      <c r="AC191" s="92"/>
    </row>
    <row r="192" spans="1:29" ht="57" customHeight="1" x14ac:dyDescent="0.25">
      <c r="A192" s="129"/>
      <c r="B192" s="130"/>
      <c r="C192" s="329"/>
      <c r="D192" s="332"/>
      <c r="E192" s="335"/>
      <c r="F192" s="335"/>
      <c r="G192" s="338"/>
      <c r="H192" s="341"/>
      <c r="I192" s="335"/>
      <c r="J192" s="332"/>
      <c r="K192" s="56"/>
      <c r="L192" s="56"/>
      <c r="M192" s="55"/>
      <c r="N192" s="55"/>
      <c r="O192" s="87"/>
      <c r="P192" s="87"/>
      <c r="Q192" s="87"/>
      <c r="R192" s="87"/>
      <c r="S192" s="87"/>
      <c r="T192" s="87"/>
      <c r="U192" s="87"/>
      <c r="V192" s="87"/>
      <c r="W192" s="87"/>
      <c r="X192" s="68"/>
      <c r="Y192" s="68"/>
      <c r="Z192" s="68"/>
      <c r="AA192" s="68"/>
      <c r="AB192" s="51"/>
      <c r="AC192" s="93"/>
    </row>
    <row r="193" spans="1:29" ht="57" customHeight="1" thickBot="1" x14ac:dyDescent="0.3">
      <c r="A193" s="131"/>
      <c r="B193" s="132"/>
      <c r="C193" s="330"/>
      <c r="D193" s="333"/>
      <c r="E193" s="336"/>
      <c r="F193" s="336"/>
      <c r="G193" s="339"/>
      <c r="H193" s="342"/>
      <c r="I193" s="336"/>
      <c r="J193" s="333"/>
      <c r="K193" s="39"/>
      <c r="L193" s="39"/>
      <c r="M193" s="60"/>
      <c r="N193" s="60"/>
      <c r="O193" s="88"/>
      <c r="P193" s="88"/>
      <c r="Q193" s="88"/>
      <c r="R193" s="88"/>
      <c r="S193" s="88"/>
      <c r="T193" s="88"/>
      <c r="U193" s="88"/>
      <c r="V193" s="88"/>
      <c r="W193" s="88"/>
      <c r="X193" s="69"/>
      <c r="Y193" s="69"/>
      <c r="Z193" s="69"/>
      <c r="AA193" s="69"/>
      <c r="AB193" s="52"/>
      <c r="AC193" s="94"/>
    </row>
    <row r="194" spans="1:29" ht="57" customHeight="1" x14ac:dyDescent="0.25">
      <c r="A194" s="119" t="s">
        <v>443</v>
      </c>
      <c r="B194" s="128" t="s">
        <v>444</v>
      </c>
      <c r="C194" s="328" t="s">
        <v>350</v>
      </c>
      <c r="D194" s="331" t="s">
        <v>445</v>
      </c>
      <c r="E194" s="334"/>
      <c r="F194" s="334"/>
      <c r="G194" s="337" t="s">
        <v>128</v>
      </c>
      <c r="H194" s="340"/>
      <c r="I194" s="334" t="s">
        <v>446</v>
      </c>
      <c r="J194" s="331" t="s">
        <v>350</v>
      </c>
      <c r="K194" s="38"/>
      <c r="L194" s="38"/>
      <c r="M194" s="61"/>
      <c r="N194" s="61"/>
      <c r="O194" s="89"/>
      <c r="P194" s="89"/>
      <c r="Q194" s="89"/>
      <c r="R194" s="89"/>
      <c r="S194" s="89"/>
      <c r="T194" s="89"/>
      <c r="U194" s="89"/>
      <c r="V194" s="89"/>
      <c r="W194" s="89"/>
      <c r="X194" s="70"/>
      <c r="Y194" s="70"/>
      <c r="Z194" s="70"/>
      <c r="AA194" s="70"/>
      <c r="AB194" s="50"/>
      <c r="AC194" s="92"/>
    </row>
    <row r="195" spans="1:29" ht="57" customHeight="1" x14ac:dyDescent="0.25">
      <c r="A195" s="129"/>
      <c r="B195" s="130"/>
      <c r="C195" s="329"/>
      <c r="D195" s="332"/>
      <c r="E195" s="335"/>
      <c r="F195" s="335"/>
      <c r="G195" s="338"/>
      <c r="H195" s="341"/>
      <c r="I195" s="335"/>
      <c r="J195" s="332"/>
      <c r="K195" s="56"/>
      <c r="L195" s="56"/>
      <c r="M195" s="55"/>
      <c r="N195" s="55"/>
      <c r="O195" s="87"/>
      <c r="P195" s="87"/>
      <c r="Q195" s="87"/>
      <c r="R195" s="87"/>
      <c r="S195" s="87"/>
      <c r="T195" s="87"/>
      <c r="U195" s="87"/>
      <c r="V195" s="87"/>
      <c r="W195" s="87"/>
      <c r="X195" s="68"/>
      <c r="Y195" s="68"/>
      <c r="Z195" s="68"/>
      <c r="AA195" s="68"/>
      <c r="AB195" s="51"/>
      <c r="AC195" s="93"/>
    </row>
    <row r="196" spans="1:29" ht="57" customHeight="1" thickBot="1" x14ac:dyDescent="0.3">
      <c r="A196" s="131"/>
      <c r="B196" s="132"/>
      <c r="C196" s="330"/>
      <c r="D196" s="333"/>
      <c r="E196" s="336"/>
      <c r="F196" s="336"/>
      <c r="G196" s="339"/>
      <c r="H196" s="342"/>
      <c r="I196" s="336"/>
      <c r="J196" s="333"/>
      <c r="K196" s="39"/>
      <c r="L196" s="39"/>
      <c r="M196" s="60"/>
      <c r="N196" s="60"/>
      <c r="O196" s="88"/>
      <c r="P196" s="88"/>
      <c r="Q196" s="88"/>
      <c r="R196" s="88"/>
      <c r="S196" s="88"/>
      <c r="T196" s="88"/>
      <c r="U196" s="88"/>
      <c r="V196" s="88"/>
      <c r="W196" s="88"/>
      <c r="X196" s="69"/>
      <c r="Y196" s="69"/>
      <c r="Z196" s="69"/>
      <c r="AA196" s="69"/>
      <c r="AB196" s="52"/>
      <c r="AC196" s="94"/>
    </row>
    <row r="197" spans="1:29" ht="57" customHeight="1" x14ac:dyDescent="0.25">
      <c r="A197" s="119" t="s">
        <v>447</v>
      </c>
      <c r="B197" s="128" t="s">
        <v>448</v>
      </c>
      <c r="C197" s="328" t="s">
        <v>449</v>
      </c>
      <c r="D197" s="331" t="s">
        <v>450</v>
      </c>
      <c r="E197" s="334"/>
      <c r="F197" s="334"/>
      <c r="G197" s="337" t="s">
        <v>128</v>
      </c>
      <c r="H197" s="340"/>
      <c r="I197" s="334" t="s">
        <v>442</v>
      </c>
      <c r="J197" s="331" t="s">
        <v>449</v>
      </c>
      <c r="K197" s="38"/>
      <c r="L197" s="38"/>
      <c r="M197" s="61"/>
      <c r="N197" s="61"/>
      <c r="O197" s="89"/>
      <c r="P197" s="89"/>
      <c r="Q197" s="89"/>
      <c r="R197" s="89"/>
      <c r="S197" s="89"/>
      <c r="T197" s="89"/>
      <c r="U197" s="89"/>
      <c r="V197" s="89"/>
      <c r="W197" s="89"/>
      <c r="X197" s="70"/>
      <c r="Y197" s="70"/>
      <c r="Z197" s="70"/>
      <c r="AA197" s="70"/>
      <c r="AB197" s="50"/>
      <c r="AC197" s="92"/>
    </row>
    <row r="198" spans="1:29" ht="57" customHeight="1" x14ac:dyDescent="0.25">
      <c r="A198" s="129"/>
      <c r="B198" s="130"/>
      <c r="C198" s="329"/>
      <c r="D198" s="332"/>
      <c r="E198" s="335"/>
      <c r="F198" s="335"/>
      <c r="G198" s="338"/>
      <c r="H198" s="341"/>
      <c r="I198" s="335"/>
      <c r="J198" s="332"/>
      <c r="K198" s="56"/>
      <c r="L198" s="56"/>
      <c r="M198" s="55"/>
      <c r="N198" s="55"/>
      <c r="O198" s="87"/>
      <c r="P198" s="87"/>
      <c r="Q198" s="87"/>
      <c r="R198" s="87"/>
      <c r="S198" s="87"/>
      <c r="T198" s="87"/>
      <c r="U198" s="87"/>
      <c r="V198" s="87"/>
      <c r="W198" s="87"/>
      <c r="X198" s="68"/>
      <c r="Y198" s="68"/>
      <c r="Z198" s="68"/>
      <c r="AA198" s="68"/>
      <c r="AB198" s="51"/>
      <c r="AC198" s="93"/>
    </row>
    <row r="199" spans="1:29" ht="57" customHeight="1" thickBot="1" x14ac:dyDescent="0.3">
      <c r="A199" s="131"/>
      <c r="B199" s="132"/>
      <c r="C199" s="330"/>
      <c r="D199" s="333"/>
      <c r="E199" s="336"/>
      <c r="F199" s="336"/>
      <c r="G199" s="339"/>
      <c r="H199" s="342"/>
      <c r="I199" s="336"/>
      <c r="J199" s="333"/>
      <c r="K199" s="39"/>
      <c r="L199" s="39"/>
      <c r="M199" s="60"/>
      <c r="N199" s="60"/>
      <c r="O199" s="88"/>
      <c r="P199" s="88"/>
      <c r="Q199" s="88"/>
      <c r="R199" s="88"/>
      <c r="S199" s="88"/>
      <c r="T199" s="88"/>
      <c r="U199" s="88"/>
      <c r="V199" s="88"/>
      <c r="W199" s="88"/>
      <c r="X199" s="69"/>
      <c r="Y199" s="69"/>
      <c r="Z199" s="69"/>
      <c r="AA199" s="69"/>
      <c r="AB199" s="52"/>
      <c r="AC199" s="94"/>
    </row>
    <row r="200" spans="1:29" ht="57" customHeight="1" thickBot="1" x14ac:dyDescent="0.3">
      <c r="A200" s="127"/>
      <c r="B200" s="138" t="s">
        <v>451</v>
      </c>
      <c r="C200" s="345" t="s">
        <v>452</v>
      </c>
      <c r="D200" s="346"/>
      <c r="E200" s="148"/>
      <c r="F200" s="138"/>
      <c r="G200" s="138"/>
      <c r="H200" s="138"/>
      <c r="I200" s="138"/>
      <c r="J200" s="138"/>
      <c r="K200" s="135"/>
      <c r="L200" s="135"/>
      <c r="M200" s="135"/>
      <c r="N200" s="135"/>
      <c r="O200" s="141"/>
      <c r="P200" s="141"/>
      <c r="Q200" s="141"/>
      <c r="R200" s="141"/>
      <c r="S200" s="141"/>
      <c r="T200" s="141"/>
      <c r="U200" s="141"/>
      <c r="V200" s="141"/>
      <c r="W200" s="141"/>
      <c r="X200" s="142"/>
      <c r="Y200" s="142"/>
      <c r="Z200" s="142"/>
      <c r="AA200" s="142"/>
      <c r="AB200" s="135"/>
      <c r="AC200" s="54"/>
    </row>
    <row r="201" spans="1:29" ht="57" customHeight="1" x14ac:dyDescent="0.25">
      <c r="A201" s="119" t="s">
        <v>453</v>
      </c>
      <c r="B201" s="128" t="s">
        <v>454</v>
      </c>
      <c r="C201" s="328" t="s">
        <v>455</v>
      </c>
      <c r="D201" s="331" t="s">
        <v>456</v>
      </c>
      <c r="E201" s="334"/>
      <c r="F201" s="334"/>
      <c r="G201" s="337" t="s">
        <v>128</v>
      </c>
      <c r="H201" s="340"/>
      <c r="I201" s="334" t="s">
        <v>457</v>
      </c>
      <c r="J201" s="331" t="s">
        <v>455</v>
      </c>
      <c r="K201" s="38"/>
      <c r="L201" s="38"/>
      <c r="M201" s="61"/>
      <c r="N201" s="61"/>
      <c r="O201" s="89"/>
      <c r="P201" s="89"/>
      <c r="Q201" s="89"/>
      <c r="R201" s="89"/>
      <c r="S201" s="89"/>
      <c r="T201" s="89"/>
      <c r="U201" s="89"/>
      <c r="V201" s="89"/>
      <c r="W201" s="89"/>
      <c r="X201" s="70"/>
      <c r="Y201" s="70"/>
      <c r="Z201" s="70"/>
      <c r="AA201" s="70"/>
      <c r="AB201" s="50"/>
      <c r="AC201" s="92"/>
    </row>
    <row r="202" spans="1:29" ht="57" customHeight="1" x14ac:dyDescent="0.25">
      <c r="A202" s="129"/>
      <c r="B202" s="130"/>
      <c r="C202" s="329"/>
      <c r="D202" s="332"/>
      <c r="E202" s="335"/>
      <c r="F202" s="335"/>
      <c r="G202" s="338"/>
      <c r="H202" s="341"/>
      <c r="I202" s="335"/>
      <c r="J202" s="332"/>
      <c r="K202" s="56"/>
      <c r="L202" s="56"/>
      <c r="M202" s="55"/>
      <c r="N202" s="55"/>
      <c r="O202" s="87"/>
      <c r="P202" s="87"/>
      <c r="Q202" s="87"/>
      <c r="R202" s="87"/>
      <c r="S202" s="87"/>
      <c r="T202" s="87"/>
      <c r="U202" s="87"/>
      <c r="V202" s="87"/>
      <c r="W202" s="87"/>
      <c r="X202" s="68"/>
      <c r="Y202" s="68"/>
      <c r="Z202" s="68"/>
      <c r="AA202" s="68"/>
      <c r="AB202" s="51"/>
      <c r="AC202" s="93"/>
    </row>
    <row r="203" spans="1:29" ht="57" customHeight="1" thickBot="1" x14ac:dyDescent="0.3">
      <c r="A203" s="131"/>
      <c r="B203" s="132"/>
      <c r="C203" s="330"/>
      <c r="D203" s="333"/>
      <c r="E203" s="336"/>
      <c r="F203" s="336"/>
      <c r="G203" s="339"/>
      <c r="H203" s="342"/>
      <c r="I203" s="336"/>
      <c r="J203" s="333"/>
      <c r="K203" s="39"/>
      <c r="L203" s="39"/>
      <c r="M203" s="60"/>
      <c r="N203" s="60"/>
      <c r="O203" s="88"/>
      <c r="P203" s="88"/>
      <c r="Q203" s="88"/>
      <c r="R203" s="88"/>
      <c r="S203" s="88"/>
      <c r="T203" s="88"/>
      <c r="U203" s="88"/>
      <c r="V203" s="88"/>
      <c r="W203" s="88"/>
      <c r="X203" s="69"/>
      <c r="Y203" s="69"/>
      <c r="Z203" s="69"/>
      <c r="AA203" s="69"/>
      <c r="AB203" s="52"/>
      <c r="AC203" s="94"/>
    </row>
    <row r="204" spans="1:29" ht="57" customHeight="1" x14ac:dyDescent="0.25">
      <c r="A204" s="119" t="s">
        <v>458</v>
      </c>
      <c r="B204" s="128" t="s">
        <v>459</v>
      </c>
      <c r="C204" s="328" t="s">
        <v>290</v>
      </c>
      <c r="D204" s="331" t="s">
        <v>460</v>
      </c>
      <c r="E204" s="334"/>
      <c r="F204" s="334"/>
      <c r="G204" s="337" t="s">
        <v>128</v>
      </c>
      <c r="H204" s="340"/>
      <c r="I204" s="334" t="s">
        <v>457</v>
      </c>
      <c r="J204" s="331" t="s">
        <v>290</v>
      </c>
      <c r="K204" s="38"/>
      <c r="L204" s="38"/>
      <c r="M204" s="61"/>
      <c r="N204" s="61"/>
      <c r="O204" s="89"/>
      <c r="P204" s="89"/>
      <c r="Q204" s="89"/>
      <c r="R204" s="89"/>
      <c r="S204" s="89"/>
      <c r="T204" s="89"/>
      <c r="U204" s="89"/>
      <c r="V204" s="89"/>
      <c r="W204" s="89"/>
      <c r="X204" s="70"/>
      <c r="Y204" s="70"/>
      <c r="Z204" s="70"/>
      <c r="AA204" s="70"/>
      <c r="AB204" s="50"/>
      <c r="AC204" s="92"/>
    </row>
    <row r="205" spans="1:29" ht="57" customHeight="1" x14ac:dyDescent="0.25">
      <c r="A205" s="129"/>
      <c r="B205" s="130"/>
      <c r="C205" s="329"/>
      <c r="D205" s="332"/>
      <c r="E205" s="335"/>
      <c r="F205" s="335"/>
      <c r="G205" s="338"/>
      <c r="H205" s="341"/>
      <c r="I205" s="335"/>
      <c r="J205" s="332"/>
      <c r="K205" s="56"/>
      <c r="L205" s="56"/>
      <c r="M205" s="55"/>
      <c r="N205" s="55"/>
      <c r="O205" s="87"/>
      <c r="P205" s="87"/>
      <c r="Q205" s="87"/>
      <c r="R205" s="87"/>
      <c r="S205" s="87"/>
      <c r="T205" s="87"/>
      <c r="U205" s="87"/>
      <c r="V205" s="87"/>
      <c r="W205" s="87"/>
      <c r="X205" s="68"/>
      <c r="Y205" s="68"/>
      <c r="Z205" s="68"/>
      <c r="AA205" s="68"/>
      <c r="AB205" s="51"/>
      <c r="AC205" s="93"/>
    </row>
    <row r="206" spans="1:29" ht="57" customHeight="1" thickBot="1" x14ac:dyDescent="0.3">
      <c r="A206" s="131"/>
      <c r="B206" s="132"/>
      <c r="C206" s="330"/>
      <c r="D206" s="333"/>
      <c r="E206" s="336"/>
      <c r="F206" s="336"/>
      <c r="G206" s="339"/>
      <c r="H206" s="342"/>
      <c r="I206" s="336"/>
      <c r="J206" s="333"/>
      <c r="K206" s="39"/>
      <c r="L206" s="39"/>
      <c r="M206" s="60"/>
      <c r="N206" s="60"/>
      <c r="O206" s="88"/>
      <c r="P206" s="88"/>
      <c r="Q206" s="88"/>
      <c r="R206" s="88"/>
      <c r="S206" s="88"/>
      <c r="T206" s="88"/>
      <c r="U206" s="88"/>
      <c r="V206" s="88"/>
      <c r="W206" s="88"/>
      <c r="X206" s="69"/>
      <c r="Y206" s="69"/>
      <c r="Z206" s="69"/>
      <c r="AA206" s="69"/>
      <c r="AB206" s="52"/>
      <c r="AC206" s="94"/>
    </row>
    <row r="207" spans="1:29" ht="57" customHeight="1" x14ac:dyDescent="0.25">
      <c r="A207" s="119" t="s">
        <v>461</v>
      </c>
      <c r="B207" s="128" t="s">
        <v>462</v>
      </c>
      <c r="C207" s="328" t="s">
        <v>463</v>
      </c>
      <c r="D207" s="331" t="s">
        <v>464</v>
      </c>
      <c r="E207" s="334"/>
      <c r="F207" s="334"/>
      <c r="G207" s="337" t="s">
        <v>128</v>
      </c>
      <c r="H207" s="340"/>
      <c r="I207" s="334" t="s">
        <v>457</v>
      </c>
      <c r="J207" s="331" t="s">
        <v>463</v>
      </c>
      <c r="K207" s="38"/>
      <c r="L207" s="38"/>
      <c r="M207" s="61"/>
      <c r="N207" s="61"/>
      <c r="O207" s="89"/>
      <c r="P207" s="89"/>
      <c r="Q207" s="89"/>
      <c r="R207" s="89"/>
      <c r="S207" s="89"/>
      <c r="T207" s="89"/>
      <c r="U207" s="89"/>
      <c r="V207" s="89"/>
      <c r="W207" s="89"/>
      <c r="X207" s="70"/>
      <c r="Y207" s="70"/>
      <c r="Z207" s="70"/>
      <c r="AA207" s="70"/>
      <c r="AB207" s="50"/>
      <c r="AC207" s="92"/>
    </row>
    <row r="208" spans="1:29" ht="57" customHeight="1" x14ac:dyDescent="0.25">
      <c r="A208" s="129"/>
      <c r="B208" s="130"/>
      <c r="C208" s="329"/>
      <c r="D208" s="332"/>
      <c r="E208" s="335"/>
      <c r="F208" s="335"/>
      <c r="G208" s="338"/>
      <c r="H208" s="341"/>
      <c r="I208" s="335"/>
      <c r="J208" s="332"/>
      <c r="K208" s="56"/>
      <c r="L208" s="56"/>
      <c r="M208" s="55"/>
      <c r="N208" s="55"/>
      <c r="O208" s="87"/>
      <c r="P208" s="87"/>
      <c r="Q208" s="87"/>
      <c r="R208" s="87"/>
      <c r="S208" s="87"/>
      <c r="T208" s="87"/>
      <c r="U208" s="87"/>
      <c r="V208" s="87"/>
      <c r="W208" s="87"/>
      <c r="X208" s="68"/>
      <c r="Y208" s="68"/>
      <c r="Z208" s="68"/>
      <c r="AA208" s="68"/>
      <c r="AB208" s="51"/>
      <c r="AC208" s="93"/>
    </row>
    <row r="209" spans="1:29" ht="57" customHeight="1" thickBot="1" x14ac:dyDescent="0.3">
      <c r="A209" s="131"/>
      <c r="B209" s="132"/>
      <c r="C209" s="330"/>
      <c r="D209" s="333"/>
      <c r="E209" s="336"/>
      <c r="F209" s="336"/>
      <c r="G209" s="339"/>
      <c r="H209" s="342"/>
      <c r="I209" s="336"/>
      <c r="J209" s="333"/>
      <c r="K209" s="39"/>
      <c r="L209" s="39"/>
      <c r="M209" s="60"/>
      <c r="N209" s="60"/>
      <c r="O209" s="88"/>
      <c r="P209" s="88"/>
      <c r="Q209" s="88"/>
      <c r="R209" s="88"/>
      <c r="S209" s="88"/>
      <c r="T209" s="88"/>
      <c r="U209" s="88"/>
      <c r="V209" s="88"/>
      <c r="W209" s="88"/>
      <c r="X209" s="69"/>
      <c r="Y209" s="69"/>
      <c r="Z209" s="69"/>
      <c r="AA209" s="69"/>
      <c r="AB209" s="52"/>
      <c r="AC209" s="94"/>
    </row>
    <row r="210" spans="1:29" ht="57" customHeight="1" x14ac:dyDescent="0.25">
      <c r="A210" s="119" t="s">
        <v>465</v>
      </c>
      <c r="B210" s="128" t="s">
        <v>466</v>
      </c>
      <c r="C210" s="328" t="s">
        <v>467</v>
      </c>
      <c r="D210" s="331" t="s">
        <v>468</v>
      </c>
      <c r="E210" s="334"/>
      <c r="F210" s="334"/>
      <c r="G210" s="337" t="s">
        <v>128</v>
      </c>
      <c r="H210" s="340"/>
      <c r="I210" s="334" t="s">
        <v>469</v>
      </c>
      <c r="J210" s="331" t="s">
        <v>470</v>
      </c>
      <c r="K210" s="38"/>
      <c r="L210" s="38"/>
      <c r="M210" s="61"/>
      <c r="N210" s="61"/>
      <c r="O210" s="89"/>
      <c r="P210" s="89"/>
      <c r="Q210" s="89"/>
      <c r="R210" s="89"/>
      <c r="S210" s="89"/>
      <c r="T210" s="89"/>
      <c r="U210" s="89"/>
      <c r="V210" s="89"/>
      <c r="W210" s="89"/>
      <c r="X210" s="70"/>
      <c r="Y210" s="70"/>
      <c r="Z210" s="70"/>
      <c r="AA210" s="70"/>
      <c r="AB210" s="50"/>
      <c r="AC210" s="92"/>
    </row>
    <row r="211" spans="1:29" ht="57" customHeight="1" x14ac:dyDescent="0.25">
      <c r="A211" s="129"/>
      <c r="B211" s="130"/>
      <c r="C211" s="329"/>
      <c r="D211" s="332"/>
      <c r="E211" s="335"/>
      <c r="F211" s="335"/>
      <c r="G211" s="338"/>
      <c r="H211" s="341"/>
      <c r="I211" s="335"/>
      <c r="J211" s="332"/>
      <c r="K211" s="56"/>
      <c r="L211" s="56"/>
      <c r="M211" s="55"/>
      <c r="N211" s="55"/>
      <c r="O211" s="87"/>
      <c r="P211" s="87"/>
      <c r="Q211" s="87"/>
      <c r="R211" s="87"/>
      <c r="S211" s="87"/>
      <c r="T211" s="87"/>
      <c r="U211" s="87"/>
      <c r="V211" s="87"/>
      <c r="W211" s="87"/>
      <c r="X211" s="68"/>
      <c r="Y211" s="68"/>
      <c r="Z211" s="68"/>
      <c r="AA211" s="68"/>
      <c r="AB211" s="51"/>
      <c r="AC211" s="93"/>
    </row>
    <row r="212" spans="1:29" ht="57" customHeight="1" thickBot="1" x14ac:dyDescent="0.3">
      <c r="A212" s="131"/>
      <c r="B212" s="132"/>
      <c r="C212" s="330"/>
      <c r="D212" s="333"/>
      <c r="E212" s="336"/>
      <c r="F212" s="336"/>
      <c r="G212" s="339"/>
      <c r="H212" s="342"/>
      <c r="I212" s="336"/>
      <c r="J212" s="333"/>
      <c r="K212" s="39"/>
      <c r="L212" s="39"/>
      <c r="M212" s="60"/>
      <c r="N212" s="60"/>
      <c r="O212" s="88"/>
      <c r="P212" s="88"/>
      <c r="Q212" s="88"/>
      <c r="R212" s="88"/>
      <c r="S212" s="88"/>
      <c r="T212" s="88"/>
      <c r="U212" s="88"/>
      <c r="V212" s="88"/>
      <c r="W212" s="88"/>
      <c r="X212" s="69"/>
      <c r="Y212" s="69"/>
      <c r="Z212" s="69"/>
      <c r="AA212" s="69"/>
      <c r="AB212" s="52"/>
      <c r="AC212" s="94"/>
    </row>
    <row r="213" spans="1:29" ht="57" customHeight="1" thickBot="1" x14ac:dyDescent="0.3">
      <c r="A213" s="127"/>
      <c r="B213" s="138" t="s">
        <v>471</v>
      </c>
      <c r="C213" s="345" t="s">
        <v>472</v>
      </c>
      <c r="D213" s="346"/>
      <c r="E213" s="148"/>
      <c r="F213" s="138"/>
      <c r="G213" s="138"/>
      <c r="H213" s="138"/>
      <c r="I213" s="138"/>
      <c r="J213" s="138"/>
      <c r="K213" s="135"/>
      <c r="L213" s="135"/>
      <c r="M213" s="135"/>
      <c r="N213" s="135"/>
      <c r="O213" s="141"/>
      <c r="P213" s="141"/>
      <c r="Q213" s="141"/>
      <c r="R213" s="141"/>
      <c r="S213" s="141"/>
      <c r="T213" s="141"/>
      <c r="U213" s="141"/>
      <c r="V213" s="141"/>
      <c r="W213" s="141"/>
      <c r="X213" s="142"/>
      <c r="Y213" s="142"/>
      <c r="Z213" s="142"/>
      <c r="AA213" s="142"/>
      <c r="AB213" s="135"/>
      <c r="AC213" s="54"/>
    </row>
    <row r="214" spans="1:29" ht="57" customHeight="1" x14ac:dyDescent="0.25">
      <c r="A214" s="119" t="s">
        <v>473</v>
      </c>
      <c r="B214" s="128" t="s">
        <v>474</v>
      </c>
      <c r="C214" s="328" t="s">
        <v>475</v>
      </c>
      <c r="D214" s="331" t="s">
        <v>476</v>
      </c>
      <c r="E214" s="334"/>
      <c r="F214" s="334"/>
      <c r="G214" s="337" t="s">
        <v>128</v>
      </c>
      <c r="H214" s="340"/>
      <c r="I214" s="334" t="s">
        <v>477</v>
      </c>
      <c r="J214" s="331" t="s">
        <v>475</v>
      </c>
      <c r="K214" s="38"/>
      <c r="L214" s="38"/>
      <c r="M214" s="61"/>
      <c r="N214" s="61"/>
      <c r="O214" s="89"/>
      <c r="P214" s="89"/>
      <c r="Q214" s="89"/>
      <c r="R214" s="89"/>
      <c r="S214" s="89"/>
      <c r="T214" s="89"/>
      <c r="U214" s="89"/>
      <c r="V214" s="89"/>
      <c r="W214" s="89"/>
      <c r="X214" s="70"/>
      <c r="Y214" s="70"/>
      <c r="Z214" s="70"/>
      <c r="AA214" s="70"/>
      <c r="AB214" s="50"/>
      <c r="AC214" s="92"/>
    </row>
    <row r="215" spans="1:29" ht="57" customHeight="1" x14ac:dyDescent="0.25">
      <c r="A215" s="129"/>
      <c r="B215" s="130"/>
      <c r="C215" s="329"/>
      <c r="D215" s="332"/>
      <c r="E215" s="335"/>
      <c r="F215" s="335"/>
      <c r="G215" s="338"/>
      <c r="H215" s="341"/>
      <c r="I215" s="335"/>
      <c r="J215" s="332"/>
      <c r="K215" s="56"/>
      <c r="L215" s="56"/>
      <c r="M215" s="55"/>
      <c r="N215" s="55"/>
      <c r="O215" s="87"/>
      <c r="P215" s="87"/>
      <c r="Q215" s="87"/>
      <c r="R215" s="87"/>
      <c r="S215" s="87"/>
      <c r="T215" s="87"/>
      <c r="U215" s="87"/>
      <c r="V215" s="87"/>
      <c r="W215" s="87"/>
      <c r="X215" s="68"/>
      <c r="Y215" s="68"/>
      <c r="Z215" s="68"/>
      <c r="AA215" s="68"/>
      <c r="AB215" s="51"/>
      <c r="AC215" s="93"/>
    </row>
    <row r="216" spans="1:29" ht="57" customHeight="1" thickBot="1" x14ac:dyDescent="0.3">
      <c r="A216" s="131"/>
      <c r="B216" s="132"/>
      <c r="C216" s="330"/>
      <c r="D216" s="333"/>
      <c r="E216" s="336"/>
      <c r="F216" s="336"/>
      <c r="G216" s="339"/>
      <c r="H216" s="342"/>
      <c r="I216" s="336"/>
      <c r="J216" s="333"/>
      <c r="K216" s="39"/>
      <c r="L216" s="39"/>
      <c r="M216" s="60"/>
      <c r="N216" s="60"/>
      <c r="O216" s="88"/>
      <c r="P216" s="88"/>
      <c r="Q216" s="88"/>
      <c r="R216" s="88"/>
      <c r="S216" s="88"/>
      <c r="T216" s="88"/>
      <c r="U216" s="88"/>
      <c r="V216" s="88"/>
      <c r="W216" s="88"/>
      <c r="X216" s="69"/>
      <c r="Y216" s="69"/>
      <c r="Z216" s="69"/>
      <c r="AA216" s="69"/>
      <c r="AB216" s="52"/>
      <c r="AC216" s="94"/>
    </row>
    <row r="217" spans="1:29" ht="57" customHeight="1" x14ac:dyDescent="0.25">
      <c r="A217" s="119" t="s">
        <v>478</v>
      </c>
      <c r="B217" s="128" t="s">
        <v>479</v>
      </c>
      <c r="C217" s="328" t="s">
        <v>480</v>
      </c>
      <c r="D217" s="331" t="s">
        <v>481</v>
      </c>
      <c r="E217" s="334"/>
      <c r="F217" s="334"/>
      <c r="G217" s="337" t="s">
        <v>128</v>
      </c>
      <c r="H217" s="340"/>
      <c r="I217" s="334" t="s">
        <v>477</v>
      </c>
      <c r="J217" s="331" t="s">
        <v>480</v>
      </c>
      <c r="K217" s="38"/>
      <c r="L217" s="38"/>
      <c r="M217" s="61"/>
      <c r="N217" s="61"/>
      <c r="O217" s="89"/>
      <c r="P217" s="89"/>
      <c r="Q217" s="89"/>
      <c r="R217" s="89"/>
      <c r="S217" s="89"/>
      <c r="T217" s="89"/>
      <c r="U217" s="89"/>
      <c r="V217" s="89"/>
      <c r="W217" s="89"/>
      <c r="X217" s="70"/>
      <c r="Y217" s="70"/>
      <c r="Z217" s="70"/>
      <c r="AA217" s="70"/>
      <c r="AB217" s="50"/>
      <c r="AC217" s="92"/>
    </row>
    <row r="218" spans="1:29" ht="57" customHeight="1" x14ac:dyDescent="0.25">
      <c r="A218" s="129"/>
      <c r="B218" s="130"/>
      <c r="C218" s="329"/>
      <c r="D218" s="332"/>
      <c r="E218" s="335"/>
      <c r="F218" s="335"/>
      <c r="G218" s="338"/>
      <c r="H218" s="341"/>
      <c r="I218" s="335"/>
      <c r="J218" s="332"/>
      <c r="K218" s="56"/>
      <c r="L218" s="56"/>
      <c r="M218" s="55"/>
      <c r="N218" s="55"/>
      <c r="O218" s="87"/>
      <c r="P218" s="87"/>
      <c r="Q218" s="87"/>
      <c r="R218" s="87"/>
      <c r="S218" s="87"/>
      <c r="T218" s="87"/>
      <c r="U218" s="87"/>
      <c r="V218" s="87"/>
      <c r="W218" s="87"/>
      <c r="X218" s="68"/>
      <c r="Y218" s="68"/>
      <c r="Z218" s="68"/>
      <c r="AA218" s="68"/>
      <c r="AB218" s="51"/>
      <c r="AC218" s="93"/>
    </row>
    <row r="219" spans="1:29" ht="57" customHeight="1" thickBot="1" x14ac:dyDescent="0.3">
      <c r="A219" s="131"/>
      <c r="B219" s="132"/>
      <c r="C219" s="330"/>
      <c r="D219" s="333"/>
      <c r="E219" s="336"/>
      <c r="F219" s="336"/>
      <c r="G219" s="339"/>
      <c r="H219" s="342"/>
      <c r="I219" s="336"/>
      <c r="J219" s="333"/>
      <c r="K219" s="39"/>
      <c r="L219" s="39"/>
      <c r="M219" s="60"/>
      <c r="N219" s="60"/>
      <c r="O219" s="88"/>
      <c r="P219" s="88"/>
      <c r="Q219" s="88"/>
      <c r="R219" s="88"/>
      <c r="S219" s="88"/>
      <c r="T219" s="88"/>
      <c r="U219" s="88"/>
      <c r="V219" s="88"/>
      <c r="W219" s="88"/>
      <c r="X219" s="69"/>
      <c r="Y219" s="69"/>
      <c r="Z219" s="69"/>
      <c r="AA219" s="69"/>
      <c r="AB219" s="52"/>
      <c r="AC219" s="94"/>
    </row>
    <row r="220" spans="1:29" ht="57" customHeight="1" thickBot="1" x14ac:dyDescent="0.3">
      <c r="A220" s="127"/>
      <c r="B220" s="138" t="s">
        <v>482</v>
      </c>
      <c r="C220" s="345" t="s">
        <v>483</v>
      </c>
      <c r="D220" s="346"/>
      <c r="E220" s="148"/>
      <c r="F220" s="138"/>
      <c r="G220" s="138"/>
      <c r="H220" s="138"/>
      <c r="I220" s="138"/>
      <c r="J220" s="138"/>
      <c r="K220" s="135"/>
      <c r="L220" s="135"/>
      <c r="M220" s="135"/>
      <c r="N220" s="135"/>
      <c r="O220" s="141"/>
      <c r="P220" s="141"/>
      <c r="Q220" s="141"/>
      <c r="R220" s="141"/>
      <c r="S220" s="141"/>
      <c r="T220" s="141"/>
      <c r="U220" s="141"/>
      <c r="V220" s="141"/>
      <c r="W220" s="141"/>
      <c r="X220" s="142"/>
      <c r="Y220" s="142"/>
      <c r="Z220" s="142"/>
      <c r="AA220" s="142"/>
      <c r="AB220" s="135"/>
      <c r="AC220" s="54"/>
    </row>
    <row r="221" spans="1:29" ht="57" customHeight="1" x14ac:dyDescent="0.25">
      <c r="A221" s="119" t="s">
        <v>484</v>
      </c>
      <c r="B221" s="128" t="s">
        <v>485</v>
      </c>
      <c r="C221" s="328" t="s">
        <v>486</v>
      </c>
      <c r="D221" s="331" t="s">
        <v>487</v>
      </c>
      <c r="E221" s="334"/>
      <c r="F221" s="334"/>
      <c r="G221" s="337" t="s">
        <v>128</v>
      </c>
      <c r="H221" s="340"/>
      <c r="I221" s="334" t="s">
        <v>430</v>
      </c>
      <c r="J221" s="331" t="s">
        <v>488</v>
      </c>
      <c r="K221" s="38"/>
      <c r="L221" s="38"/>
      <c r="M221" s="61"/>
      <c r="N221" s="61"/>
      <c r="O221" s="89"/>
      <c r="P221" s="89"/>
      <c r="Q221" s="89"/>
      <c r="R221" s="89"/>
      <c r="S221" s="89"/>
      <c r="T221" s="89"/>
      <c r="U221" s="89"/>
      <c r="V221" s="89"/>
      <c r="W221" s="89"/>
      <c r="X221" s="70"/>
      <c r="Y221" s="70"/>
      <c r="Z221" s="70"/>
      <c r="AA221" s="70"/>
      <c r="AB221" s="50"/>
      <c r="AC221" s="92"/>
    </row>
    <row r="222" spans="1:29" ht="57" customHeight="1" x14ac:dyDescent="0.25">
      <c r="A222" s="129"/>
      <c r="B222" s="130"/>
      <c r="C222" s="329"/>
      <c r="D222" s="332"/>
      <c r="E222" s="335"/>
      <c r="F222" s="335"/>
      <c r="G222" s="338"/>
      <c r="H222" s="341"/>
      <c r="I222" s="335"/>
      <c r="J222" s="332"/>
      <c r="K222" s="56"/>
      <c r="L222" s="56"/>
      <c r="M222" s="55"/>
      <c r="N222" s="55"/>
      <c r="O222" s="87"/>
      <c r="P222" s="87"/>
      <c r="Q222" s="87"/>
      <c r="R222" s="87"/>
      <c r="S222" s="87"/>
      <c r="T222" s="87"/>
      <c r="U222" s="87"/>
      <c r="V222" s="87"/>
      <c r="W222" s="87"/>
      <c r="X222" s="68"/>
      <c r="Y222" s="68"/>
      <c r="Z222" s="68"/>
      <c r="AA222" s="68"/>
      <c r="AB222" s="51"/>
      <c r="AC222" s="93"/>
    </row>
    <row r="223" spans="1:29" ht="57" customHeight="1" thickBot="1" x14ac:dyDescent="0.3">
      <c r="A223" s="131"/>
      <c r="B223" s="132"/>
      <c r="C223" s="330"/>
      <c r="D223" s="333"/>
      <c r="E223" s="336"/>
      <c r="F223" s="336"/>
      <c r="G223" s="339"/>
      <c r="H223" s="342"/>
      <c r="I223" s="336"/>
      <c r="J223" s="333"/>
      <c r="K223" s="39"/>
      <c r="L223" s="39"/>
      <c r="M223" s="60"/>
      <c r="N223" s="60"/>
      <c r="O223" s="88"/>
      <c r="P223" s="88"/>
      <c r="Q223" s="88"/>
      <c r="R223" s="88"/>
      <c r="S223" s="88"/>
      <c r="T223" s="88"/>
      <c r="U223" s="88"/>
      <c r="V223" s="88"/>
      <c r="W223" s="88"/>
      <c r="X223" s="69"/>
      <c r="Y223" s="69"/>
      <c r="Z223" s="69"/>
      <c r="AA223" s="69"/>
      <c r="AB223" s="52"/>
      <c r="AC223" s="94"/>
    </row>
    <row r="224" spans="1:29" ht="57" customHeight="1" x14ac:dyDescent="0.25">
      <c r="A224" s="119" t="s">
        <v>489</v>
      </c>
      <c r="B224" s="128" t="s">
        <v>490</v>
      </c>
      <c r="C224" s="328" t="s">
        <v>491</v>
      </c>
      <c r="D224" s="331" t="s">
        <v>492</v>
      </c>
      <c r="E224" s="334"/>
      <c r="F224" s="334"/>
      <c r="G224" s="337" t="s">
        <v>128</v>
      </c>
      <c r="H224" s="340"/>
      <c r="I224" s="334" t="s">
        <v>493</v>
      </c>
      <c r="J224" s="331" t="s">
        <v>491</v>
      </c>
      <c r="K224" s="38"/>
      <c r="L224" s="38"/>
      <c r="M224" s="61"/>
      <c r="N224" s="61"/>
      <c r="O224" s="89"/>
      <c r="P224" s="89"/>
      <c r="Q224" s="89"/>
      <c r="R224" s="89"/>
      <c r="S224" s="89"/>
      <c r="T224" s="89"/>
      <c r="U224" s="89"/>
      <c r="V224" s="89"/>
      <c r="W224" s="89"/>
      <c r="X224" s="70"/>
      <c r="Y224" s="70"/>
      <c r="Z224" s="70"/>
      <c r="AA224" s="70"/>
      <c r="AB224" s="50"/>
      <c r="AC224" s="92"/>
    </row>
    <row r="225" spans="1:29" ht="57" customHeight="1" x14ac:dyDescent="0.25">
      <c r="A225" s="129"/>
      <c r="B225" s="130"/>
      <c r="C225" s="329"/>
      <c r="D225" s="332"/>
      <c r="E225" s="335"/>
      <c r="F225" s="335"/>
      <c r="G225" s="338"/>
      <c r="H225" s="341"/>
      <c r="I225" s="335"/>
      <c r="J225" s="332"/>
      <c r="K225" s="56"/>
      <c r="L225" s="56"/>
      <c r="M225" s="55"/>
      <c r="N225" s="55"/>
      <c r="O225" s="87"/>
      <c r="P225" s="87"/>
      <c r="Q225" s="87"/>
      <c r="R225" s="87"/>
      <c r="S225" s="87"/>
      <c r="T225" s="87"/>
      <c r="U225" s="87"/>
      <c r="V225" s="87"/>
      <c r="W225" s="87"/>
      <c r="X225" s="68"/>
      <c r="Y225" s="68"/>
      <c r="Z225" s="68"/>
      <c r="AA225" s="68"/>
      <c r="AB225" s="51"/>
      <c r="AC225" s="93"/>
    </row>
    <row r="226" spans="1:29" ht="57" customHeight="1" thickBot="1" x14ac:dyDescent="0.3">
      <c r="A226" s="131"/>
      <c r="B226" s="132"/>
      <c r="C226" s="330"/>
      <c r="D226" s="333"/>
      <c r="E226" s="336"/>
      <c r="F226" s="336"/>
      <c r="G226" s="339"/>
      <c r="H226" s="342"/>
      <c r="I226" s="336"/>
      <c r="J226" s="333"/>
      <c r="K226" s="39"/>
      <c r="L226" s="39"/>
      <c r="M226" s="60"/>
      <c r="N226" s="60"/>
      <c r="O226" s="88"/>
      <c r="P226" s="88"/>
      <c r="Q226" s="88"/>
      <c r="R226" s="88"/>
      <c r="S226" s="88"/>
      <c r="T226" s="88"/>
      <c r="U226" s="88"/>
      <c r="V226" s="88"/>
      <c r="W226" s="88"/>
      <c r="X226" s="69"/>
      <c r="Y226" s="69"/>
      <c r="Z226" s="69"/>
      <c r="AA226" s="69"/>
      <c r="AB226" s="52"/>
      <c r="AC226" s="94"/>
    </row>
    <row r="227" spans="1:29" ht="57" customHeight="1" x14ac:dyDescent="0.25">
      <c r="A227" s="119" t="s">
        <v>494</v>
      </c>
      <c r="B227" s="128" t="s">
        <v>495</v>
      </c>
      <c r="C227" s="328" t="s">
        <v>470</v>
      </c>
      <c r="D227" s="331" t="s">
        <v>496</v>
      </c>
      <c r="E227" s="334"/>
      <c r="F227" s="334"/>
      <c r="G227" s="337" t="s">
        <v>128</v>
      </c>
      <c r="H227" s="340"/>
      <c r="I227" s="334" t="s">
        <v>469</v>
      </c>
      <c r="J227" s="331" t="s">
        <v>497</v>
      </c>
      <c r="K227" s="38"/>
      <c r="L227" s="38"/>
      <c r="M227" s="61"/>
      <c r="N227" s="61"/>
      <c r="O227" s="89"/>
      <c r="P227" s="89"/>
      <c r="Q227" s="89"/>
      <c r="R227" s="89"/>
      <c r="S227" s="89"/>
      <c r="T227" s="89"/>
      <c r="U227" s="89"/>
      <c r="V227" s="89"/>
      <c r="W227" s="89"/>
      <c r="X227" s="70"/>
      <c r="Y227" s="70"/>
      <c r="Z227" s="70"/>
      <c r="AA227" s="70"/>
      <c r="AB227" s="50"/>
      <c r="AC227" s="92"/>
    </row>
    <row r="228" spans="1:29" ht="57" customHeight="1" x14ac:dyDescent="0.25">
      <c r="A228" s="129"/>
      <c r="B228" s="130"/>
      <c r="C228" s="329"/>
      <c r="D228" s="332"/>
      <c r="E228" s="335"/>
      <c r="F228" s="335"/>
      <c r="G228" s="338"/>
      <c r="H228" s="341"/>
      <c r="I228" s="335"/>
      <c r="J228" s="332"/>
      <c r="K228" s="56"/>
      <c r="L228" s="56"/>
      <c r="M228" s="55"/>
      <c r="N228" s="55"/>
      <c r="O228" s="87"/>
      <c r="P228" s="87"/>
      <c r="Q228" s="87"/>
      <c r="R228" s="87"/>
      <c r="S228" s="87"/>
      <c r="T228" s="87"/>
      <c r="U228" s="87"/>
      <c r="V228" s="87"/>
      <c r="W228" s="87"/>
      <c r="X228" s="68"/>
      <c r="Y228" s="68"/>
      <c r="Z228" s="68"/>
      <c r="AA228" s="68"/>
      <c r="AB228" s="51"/>
      <c r="AC228" s="93"/>
    </row>
    <row r="229" spans="1:29" ht="57" customHeight="1" thickBot="1" x14ac:dyDescent="0.3">
      <c r="A229" s="131"/>
      <c r="B229" s="132"/>
      <c r="C229" s="330"/>
      <c r="D229" s="333"/>
      <c r="E229" s="336"/>
      <c r="F229" s="336"/>
      <c r="G229" s="339"/>
      <c r="H229" s="342"/>
      <c r="I229" s="336"/>
      <c r="J229" s="333"/>
      <c r="K229" s="39"/>
      <c r="L229" s="39"/>
      <c r="M229" s="60"/>
      <c r="N229" s="60"/>
      <c r="O229" s="88"/>
      <c r="P229" s="88"/>
      <c r="Q229" s="88"/>
      <c r="R229" s="88"/>
      <c r="S229" s="88"/>
      <c r="T229" s="88"/>
      <c r="U229" s="88"/>
      <c r="V229" s="88"/>
      <c r="W229" s="88"/>
      <c r="X229" s="69"/>
      <c r="Y229" s="69"/>
      <c r="Z229" s="69"/>
      <c r="AA229" s="69"/>
      <c r="AB229" s="52"/>
      <c r="AC229" s="94"/>
    </row>
    <row r="230" spans="1:29" ht="57" customHeight="1" thickBot="1" x14ac:dyDescent="0.3">
      <c r="A230" s="127"/>
      <c r="B230" s="138" t="s">
        <v>498</v>
      </c>
      <c r="C230" s="345" t="s">
        <v>499</v>
      </c>
      <c r="D230" s="346"/>
      <c r="E230" s="148"/>
      <c r="F230" s="138"/>
      <c r="G230" s="138"/>
      <c r="H230" s="138"/>
      <c r="I230" s="138"/>
      <c r="J230" s="138"/>
      <c r="K230" s="135"/>
      <c r="L230" s="135"/>
      <c r="M230" s="135"/>
      <c r="N230" s="135"/>
      <c r="O230" s="141"/>
      <c r="P230" s="141"/>
      <c r="Q230" s="141"/>
      <c r="R230" s="141"/>
      <c r="S230" s="141"/>
      <c r="T230" s="141"/>
      <c r="U230" s="141"/>
      <c r="V230" s="141"/>
      <c r="W230" s="141"/>
      <c r="X230" s="142"/>
      <c r="Y230" s="142"/>
      <c r="Z230" s="142"/>
      <c r="AA230" s="142"/>
      <c r="AB230" s="135"/>
      <c r="AC230" s="54"/>
    </row>
    <row r="231" spans="1:29" ht="57" customHeight="1" x14ac:dyDescent="0.25">
      <c r="A231" s="119" t="s">
        <v>500</v>
      </c>
      <c r="B231" s="128" t="s">
        <v>501</v>
      </c>
      <c r="C231" s="328" t="s">
        <v>486</v>
      </c>
      <c r="D231" s="331" t="s">
        <v>502</v>
      </c>
      <c r="E231" s="334"/>
      <c r="F231" s="334"/>
      <c r="G231" s="337" t="s">
        <v>128</v>
      </c>
      <c r="H231" s="340"/>
      <c r="I231" s="334" t="s">
        <v>503</v>
      </c>
      <c r="J231" s="331" t="s">
        <v>488</v>
      </c>
      <c r="K231" s="38"/>
      <c r="L231" s="38"/>
      <c r="M231" s="61"/>
      <c r="N231" s="61"/>
      <c r="O231" s="89"/>
      <c r="P231" s="89"/>
      <c r="Q231" s="89"/>
      <c r="R231" s="89"/>
      <c r="S231" s="89"/>
      <c r="T231" s="89"/>
      <c r="U231" s="89"/>
      <c r="V231" s="89"/>
      <c r="W231" s="89"/>
      <c r="X231" s="70"/>
      <c r="Y231" s="70"/>
      <c r="Z231" s="70"/>
      <c r="AA231" s="70"/>
      <c r="AB231" s="50"/>
      <c r="AC231" s="92"/>
    </row>
    <row r="232" spans="1:29" ht="57" customHeight="1" x14ac:dyDescent="0.25">
      <c r="A232" s="129"/>
      <c r="B232" s="130"/>
      <c r="C232" s="329"/>
      <c r="D232" s="332"/>
      <c r="E232" s="335"/>
      <c r="F232" s="335"/>
      <c r="G232" s="338"/>
      <c r="H232" s="341"/>
      <c r="I232" s="335"/>
      <c r="J232" s="332"/>
      <c r="K232" s="56"/>
      <c r="L232" s="56"/>
      <c r="M232" s="55"/>
      <c r="N232" s="55"/>
      <c r="O232" s="87"/>
      <c r="P232" s="87"/>
      <c r="Q232" s="87"/>
      <c r="R232" s="87"/>
      <c r="S232" s="87"/>
      <c r="T232" s="87"/>
      <c r="U232" s="87"/>
      <c r="V232" s="87"/>
      <c r="W232" s="87"/>
      <c r="X232" s="68"/>
      <c r="Y232" s="68"/>
      <c r="Z232" s="68"/>
      <c r="AA232" s="68"/>
      <c r="AB232" s="51"/>
      <c r="AC232" s="93"/>
    </row>
    <row r="233" spans="1:29" ht="57" customHeight="1" thickBot="1" x14ac:dyDescent="0.3">
      <c r="A233" s="131"/>
      <c r="B233" s="132"/>
      <c r="C233" s="330"/>
      <c r="D233" s="333"/>
      <c r="E233" s="336"/>
      <c r="F233" s="336"/>
      <c r="G233" s="339"/>
      <c r="H233" s="342"/>
      <c r="I233" s="336"/>
      <c r="J233" s="333"/>
      <c r="K233" s="39"/>
      <c r="L233" s="39"/>
      <c r="M233" s="60"/>
      <c r="N233" s="60"/>
      <c r="O233" s="88"/>
      <c r="P233" s="88"/>
      <c r="Q233" s="88"/>
      <c r="R233" s="88"/>
      <c r="S233" s="88"/>
      <c r="T233" s="88"/>
      <c r="U233" s="88"/>
      <c r="V233" s="88"/>
      <c r="W233" s="88"/>
      <c r="X233" s="69"/>
      <c r="Y233" s="69"/>
      <c r="Z233" s="69"/>
      <c r="AA233" s="69"/>
      <c r="AB233" s="52"/>
      <c r="AC233" s="94"/>
    </row>
    <row r="234" spans="1:29" ht="57" customHeight="1" x14ac:dyDescent="0.25">
      <c r="A234" s="119" t="s">
        <v>504</v>
      </c>
      <c r="B234" s="128" t="s">
        <v>505</v>
      </c>
      <c r="C234" s="328" t="s">
        <v>506</v>
      </c>
      <c r="D234" s="331" t="s">
        <v>507</v>
      </c>
      <c r="E234" s="334"/>
      <c r="F234" s="334"/>
      <c r="G234" s="337" t="s">
        <v>128</v>
      </c>
      <c r="H234" s="340"/>
      <c r="I234" s="334" t="s">
        <v>508</v>
      </c>
      <c r="J234" s="331" t="s">
        <v>506</v>
      </c>
      <c r="K234" s="38"/>
      <c r="L234" s="38"/>
      <c r="M234" s="61"/>
      <c r="N234" s="61"/>
      <c r="O234" s="89"/>
      <c r="P234" s="89"/>
      <c r="Q234" s="89"/>
      <c r="R234" s="89"/>
      <c r="S234" s="89"/>
      <c r="T234" s="89"/>
      <c r="U234" s="89"/>
      <c r="V234" s="89"/>
      <c r="W234" s="89"/>
      <c r="X234" s="70"/>
      <c r="Y234" s="70"/>
      <c r="Z234" s="70"/>
      <c r="AA234" s="70"/>
      <c r="AB234" s="50"/>
      <c r="AC234" s="92"/>
    </row>
    <row r="235" spans="1:29" ht="57" customHeight="1" x14ac:dyDescent="0.25">
      <c r="A235" s="129"/>
      <c r="B235" s="130"/>
      <c r="C235" s="329"/>
      <c r="D235" s="332"/>
      <c r="E235" s="335"/>
      <c r="F235" s="335"/>
      <c r="G235" s="338"/>
      <c r="H235" s="341"/>
      <c r="I235" s="335"/>
      <c r="J235" s="332"/>
      <c r="K235" s="56"/>
      <c r="L235" s="56"/>
      <c r="M235" s="55"/>
      <c r="N235" s="55"/>
      <c r="O235" s="87"/>
      <c r="P235" s="87"/>
      <c r="Q235" s="87"/>
      <c r="R235" s="87"/>
      <c r="S235" s="87"/>
      <c r="T235" s="87"/>
      <c r="U235" s="87"/>
      <c r="V235" s="87"/>
      <c r="W235" s="87"/>
      <c r="X235" s="68"/>
      <c r="Y235" s="68"/>
      <c r="Z235" s="68"/>
      <c r="AA235" s="68"/>
      <c r="AB235" s="51"/>
      <c r="AC235" s="93"/>
    </row>
    <row r="236" spans="1:29" ht="57" customHeight="1" thickBot="1" x14ac:dyDescent="0.3">
      <c r="A236" s="131"/>
      <c r="B236" s="132"/>
      <c r="C236" s="330"/>
      <c r="D236" s="333"/>
      <c r="E236" s="336"/>
      <c r="F236" s="336"/>
      <c r="G236" s="339"/>
      <c r="H236" s="342"/>
      <c r="I236" s="336"/>
      <c r="J236" s="333"/>
      <c r="K236" s="39"/>
      <c r="L236" s="39"/>
      <c r="M236" s="60"/>
      <c r="N236" s="60"/>
      <c r="O236" s="88"/>
      <c r="P236" s="88"/>
      <c r="Q236" s="88"/>
      <c r="R236" s="88"/>
      <c r="S236" s="88"/>
      <c r="T236" s="88"/>
      <c r="U236" s="88"/>
      <c r="V236" s="88"/>
      <c r="W236" s="88"/>
      <c r="X236" s="69"/>
      <c r="Y236" s="69"/>
      <c r="Z236" s="69"/>
      <c r="AA236" s="69"/>
      <c r="AB236" s="52"/>
      <c r="AC236" s="94"/>
    </row>
    <row r="237" spans="1:29" ht="57" customHeight="1" x14ac:dyDescent="0.25">
      <c r="A237" s="119" t="s">
        <v>509</v>
      </c>
      <c r="B237" s="128" t="s">
        <v>510</v>
      </c>
      <c r="C237" s="328" t="s">
        <v>511</v>
      </c>
      <c r="D237" s="331" t="s">
        <v>512</v>
      </c>
      <c r="E237" s="334"/>
      <c r="F237" s="334"/>
      <c r="G237" s="337" t="s">
        <v>128</v>
      </c>
      <c r="H237" s="340"/>
      <c r="I237" s="334"/>
      <c r="J237" s="331" t="s">
        <v>511</v>
      </c>
      <c r="K237" s="38"/>
      <c r="L237" s="38"/>
      <c r="M237" s="61"/>
      <c r="N237" s="61"/>
      <c r="O237" s="89"/>
      <c r="P237" s="89"/>
      <c r="Q237" s="89"/>
      <c r="R237" s="89"/>
      <c r="S237" s="89"/>
      <c r="T237" s="89"/>
      <c r="U237" s="89"/>
      <c r="V237" s="89"/>
      <c r="W237" s="89"/>
      <c r="X237" s="70"/>
      <c r="Y237" s="70"/>
      <c r="Z237" s="70"/>
      <c r="AA237" s="70"/>
      <c r="AB237" s="50"/>
      <c r="AC237" s="92"/>
    </row>
    <row r="238" spans="1:29" ht="57" customHeight="1" x14ac:dyDescent="0.25">
      <c r="A238" s="129"/>
      <c r="B238" s="130"/>
      <c r="C238" s="329"/>
      <c r="D238" s="332"/>
      <c r="E238" s="335"/>
      <c r="F238" s="335"/>
      <c r="G238" s="338"/>
      <c r="H238" s="341"/>
      <c r="I238" s="335"/>
      <c r="J238" s="332"/>
      <c r="K238" s="56"/>
      <c r="L238" s="56"/>
      <c r="M238" s="55"/>
      <c r="N238" s="55"/>
      <c r="O238" s="87"/>
      <c r="P238" s="87"/>
      <c r="Q238" s="87"/>
      <c r="R238" s="87"/>
      <c r="S238" s="87"/>
      <c r="T238" s="87"/>
      <c r="U238" s="87"/>
      <c r="V238" s="87"/>
      <c r="W238" s="87"/>
      <c r="X238" s="68"/>
      <c r="Y238" s="68"/>
      <c r="Z238" s="68"/>
      <c r="AA238" s="68"/>
      <c r="AB238" s="51"/>
      <c r="AC238" s="93"/>
    </row>
    <row r="239" spans="1:29" ht="57" customHeight="1" thickBot="1" x14ac:dyDescent="0.3">
      <c r="A239" s="131"/>
      <c r="B239" s="132"/>
      <c r="C239" s="330"/>
      <c r="D239" s="333"/>
      <c r="E239" s="336"/>
      <c r="F239" s="336"/>
      <c r="G239" s="339"/>
      <c r="H239" s="342"/>
      <c r="I239" s="336"/>
      <c r="J239" s="333"/>
      <c r="K239" s="39"/>
      <c r="L239" s="39"/>
      <c r="M239" s="60"/>
      <c r="N239" s="60"/>
      <c r="O239" s="88"/>
      <c r="P239" s="88"/>
      <c r="Q239" s="88"/>
      <c r="R239" s="88"/>
      <c r="S239" s="88"/>
      <c r="T239" s="88"/>
      <c r="U239" s="88"/>
      <c r="V239" s="88"/>
      <c r="W239" s="88"/>
      <c r="X239" s="69"/>
      <c r="Y239" s="69"/>
      <c r="Z239" s="69"/>
      <c r="AA239" s="69"/>
      <c r="AB239" s="52"/>
      <c r="AC239" s="94"/>
    </row>
    <row r="240" spans="1:29" ht="57" customHeight="1" x14ac:dyDescent="0.25">
      <c r="A240" s="119" t="s">
        <v>513</v>
      </c>
      <c r="B240" s="128" t="s">
        <v>514</v>
      </c>
      <c r="C240" s="328" t="s">
        <v>470</v>
      </c>
      <c r="D240" s="331" t="s">
        <v>515</v>
      </c>
      <c r="E240" s="334"/>
      <c r="F240" s="334"/>
      <c r="G240" s="337" t="s">
        <v>128</v>
      </c>
      <c r="H240" s="340"/>
      <c r="I240" s="334" t="s">
        <v>469</v>
      </c>
      <c r="J240" s="331" t="s">
        <v>497</v>
      </c>
      <c r="K240" s="38"/>
      <c r="L240" s="38"/>
      <c r="M240" s="61"/>
      <c r="N240" s="61"/>
      <c r="O240" s="89"/>
      <c r="P240" s="89"/>
      <c r="Q240" s="89"/>
      <c r="R240" s="89"/>
      <c r="S240" s="89"/>
      <c r="T240" s="89"/>
      <c r="U240" s="89"/>
      <c r="V240" s="89"/>
      <c r="W240" s="89"/>
      <c r="X240" s="70"/>
      <c r="Y240" s="70"/>
      <c r="Z240" s="70"/>
      <c r="AA240" s="70"/>
      <c r="AB240" s="50"/>
      <c r="AC240" s="92"/>
    </row>
    <row r="241" spans="1:29" ht="57" customHeight="1" x14ac:dyDescent="0.25">
      <c r="A241" s="129"/>
      <c r="B241" s="130"/>
      <c r="C241" s="329"/>
      <c r="D241" s="332"/>
      <c r="E241" s="335"/>
      <c r="F241" s="335"/>
      <c r="G241" s="338"/>
      <c r="H241" s="341"/>
      <c r="I241" s="335"/>
      <c r="J241" s="332"/>
      <c r="K241" s="56"/>
      <c r="L241" s="56"/>
      <c r="M241" s="55"/>
      <c r="N241" s="55"/>
      <c r="O241" s="87"/>
      <c r="P241" s="87"/>
      <c r="Q241" s="87"/>
      <c r="R241" s="87"/>
      <c r="S241" s="87"/>
      <c r="T241" s="87"/>
      <c r="U241" s="87"/>
      <c r="V241" s="87"/>
      <c r="W241" s="87"/>
      <c r="X241" s="68"/>
      <c r="Y241" s="68"/>
      <c r="Z241" s="68"/>
      <c r="AA241" s="68"/>
      <c r="AB241" s="51"/>
      <c r="AC241" s="93"/>
    </row>
    <row r="242" spans="1:29" ht="57" customHeight="1" thickBot="1" x14ac:dyDescent="0.3">
      <c r="A242" s="131"/>
      <c r="B242" s="132"/>
      <c r="C242" s="330"/>
      <c r="D242" s="333"/>
      <c r="E242" s="336"/>
      <c r="F242" s="336"/>
      <c r="G242" s="339"/>
      <c r="H242" s="342"/>
      <c r="I242" s="336"/>
      <c r="J242" s="333"/>
      <c r="K242" s="39"/>
      <c r="L242" s="39"/>
      <c r="M242" s="60"/>
      <c r="N242" s="60"/>
      <c r="O242" s="88"/>
      <c r="P242" s="88"/>
      <c r="Q242" s="88"/>
      <c r="R242" s="88"/>
      <c r="S242" s="88"/>
      <c r="T242" s="88"/>
      <c r="U242" s="88"/>
      <c r="V242" s="88"/>
      <c r="W242" s="88"/>
      <c r="X242" s="69"/>
      <c r="Y242" s="69"/>
      <c r="Z242" s="69"/>
      <c r="AA242" s="69"/>
      <c r="AB242" s="52"/>
      <c r="AC242" s="94"/>
    </row>
    <row r="243" spans="1:29" ht="57" customHeight="1" thickBot="1" x14ac:dyDescent="0.3">
      <c r="A243" s="127"/>
      <c r="B243" s="138" t="s">
        <v>516</v>
      </c>
      <c r="C243" s="345" t="s">
        <v>517</v>
      </c>
      <c r="D243" s="346"/>
      <c r="E243" s="148"/>
      <c r="F243" s="138"/>
      <c r="G243" s="138"/>
      <c r="H243" s="138"/>
      <c r="I243" s="138"/>
      <c r="J243" s="138"/>
      <c r="K243" s="135"/>
      <c r="L243" s="135"/>
      <c r="M243" s="135"/>
      <c r="N243" s="135"/>
      <c r="O243" s="141"/>
      <c r="P243" s="141"/>
      <c r="Q243" s="141"/>
      <c r="R243" s="141"/>
      <c r="S243" s="141"/>
      <c r="T243" s="141"/>
      <c r="U243" s="141"/>
      <c r="V243" s="141"/>
      <c r="W243" s="141"/>
      <c r="X243" s="142"/>
      <c r="Y243" s="142"/>
      <c r="Z243" s="142"/>
      <c r="AA243" s="142"/>
      <c r="AB243" s="135"/>
      <c r="AC243" s="54"/>
    </row>
    <row r="244" spans="1:29" ht="57" customHeight="1" x14ac:dyDescent="0.25">
      <c r="A244" s="119" t="s">
        <v>518</v>
      </c>
      <c r="B244" s="128" t="s">
        <v>519</v>
      </c>
      <c r="C244" s="328" t="s">
        <v>486</v>
      </c>
      <c r="D244" s="331" t="s">
        <v>520</v>
      </c>
      <c r="E244" s="334"/>
      <c r="F244" s="334"/>
      <c r="G244" s="337" t="s">
        <v>128</v>
      </c>
      <c r="H244" s="340"/>
      <c r="I244" s="334" t="s">
        <v>503</v>
      </c>
      <c r="J244" s="331" t="s">
        <v>488</v>
      </c>
      <c r="K244" s="38"/>
      <c r="L244" s="38"/>
      <c r="M244" s="61"/>
      <c r="N244" s="61"/>
      <c r="O244" s="89"/>
      <c r="P244" s="89"/>
      <c r="Q244" s="89"/>
      <c r="R244" s="89"/>
      <c r="S244" s="89"/>
      <c r="T244" s="89"/>
      <c r="U244" s="89"/>
      <c r="V244" s="89"/>
      <c r="W244" s="89"/>
      <c r="X244" s="70"/>
      <c r="Y244" s="70"/>
      <c r="Z244" s="70"/>
      <c r="AA244" s="70"/>
      <c r="AB244" s="50"/>
      <c r="AC244" s="92"/>
    </row>
    <row r="245" spans="1:29" ht="57" customHeight="1" x14ac:dyDescent="0.25">
      <c r="A245" s="129"/>
      <c r="B245" s="130"/>
      <c r="C245" s="329"/>
      <c r="D245" s="332"/>
      <c r="E245" s="335"/>
      <c r="F245" s="335"/>
      <c r="G245" s="338"/>
      <c r="H245" s="341"/>
      <c r="I245" s="335"/>
      <c r="J245" s="332"/>
      <c r="K245" s="56"/>
      <c r="L245" s="56"/>
      <c r="M245" s="55"/>
      <c r="N245" s="55"/>
      <c r="O245" s="87"/>
      <c r="P245" s="87"/>
      <c r="Q245" s="87"/>
      <c r="R245" s="87"/>
      <c r="S245" s="87"/>
      <c r="T245" s="87"/>
      <c r="U245" s="87"/>
      <c r="V245" s="87"/>
      <c r="W245" s="87"/>
      <c r="X245" s="68"/>
      <c r="Y245" s="68"/>
      <c r="Z245" s="68"/>
      <c r="AA245" s="68"/>
      <c r="AB245" s="51"/>
      <c r="AC245" s="93"/>
    </row>
    <row r="246" spans="1:29" ht="57" customHeight="1" thickBot="1" x14ac:dyDescent="0.3">
      <c r="A246" s="131"/>
      <c r="B246" s="132"/>
      <c r="C246" s="330"/>
      <c r="D246" s="333"/>
      <c r="E246" s="336"/>
      <c r="F246" s="336"/>
      <c r="G246" s="339"/>
      <c r="H246" s="342"/>
      <c r="I246" s="336"/>
      <c r="J246" s="333"/>
      <c r="K246" s="39"/>
      <c r="L246" s="39"/>
      <c r="M246" s="60"/>
      <c r="N246" s="60"/>
      <c r="O246" s="88"/>
      <c r="P246" s="88"/>
      <c r="Q246" s="88"/>
      <c r="R246" s="88"/>
      <c r="S246" s="88"/>
      <c r="T246" s="88"/>
      <c r="U246" s="88"/>
      <c r="V246" s="88"/>
      <c r="W246" s="88"/>
      <c r="X246" s="69"/>
      <c r="Y246" s="69"/>
      <c r="Z246" s="69"/>
      <c r="AA246" s="69"/>
      <c r="AB246" s="52"/>
      <c r="AC246" s="94"/>
    </row>
    <row r="247" spans="1:29" ht="57" customHeight="1" x14ac:dyDescent="0.25">
      <c r="A247" s="119" t="s">
        <v>521</v>
      </c>
      <c r="B247" s="128" t="s">
        <v>522</v>
      </c>
      <c r="C247" s="328" t="s">
        <v>506</v>
      </c>
      <c r="D247" s="331" t="s">
        <v>523</v>
      </c>
      <c r="E247" s="334"/>
      <c r="F247" s="334"/>
      <c r="G247" s="337" t="s">
        <v>128</v>
      </c>
      <c r="H247" s="340"/>
      <c r="I247" s="334" t="s">
        <v>508</v>
      </c>
      <c r="J247" s="331" t="s">
        <v>506</v>
      </c>
      <c r="K247" s="38"/>
      <c r="L247" s="38"/>
      <c r="M247" s="61"/>
      <c r="N247" s="61"/>
      <c r="O247" s="89"/>
      <c r="P247" s="89"/>
      <c r="Q247" s="89"/>
      <c r="R247" s="89"/>
      <c r="S247" s="89"/>
      <c r="T247" s="89"/>
      <c r="U247" s="89"/>
      <c r="V247" s="89"/>
      <c r="W247" s="89"/>
      <c r="X247" s="70"/>
      <c r="Y247" s="70"/>
      <c r="Z247" s="70"/>
      <c r="AA247" s="70"/>
      <c r="AB247" s="50"/>
      <c r="AC247" s="92"/>
    </row>
    <row r="248" spans="1:29" ht="57" customHeight="1" x14ac:dyDescent="0.25">
      <c r="A248" s="129"/>
      <c r="B248" s="130"/>
      <c r="C248" s="329"/>
      <c r="D248" s="332"/>
      <c r="E248" s="335"/>
      <c r="F248" s="335"/>
      <c r="G248" s="338"/>
      <c r="H248" s="341"/>
      <c r="I248" s="335"/>
      <c r="J248" s="332"/>
      <c r="K248" s="56"/>
      <c r="L248" s="56"/>
      <c r="M248" s="55"/>
      <c r="N248" s="55"/>
      <c r="O248" s="87"/>
      <c r="P248" s="87"/>
      <c r="Q248" s="87"/>
      <c r="R248" s="87"/>
      <c r="S248" s="87"/>
      <c r="T248" s="87"/>
      <c r="U248" s="87"/>
      <c r="V248" s="87"/>
      <c r="W248" s="87"/>
      <c r="X248" s="68"/>
      <c r="Y248" s="68"/>
      <c r="Z248" s="68"/>
      <c r="AA248" s="68"/>
      <c r="AB248" s="51"/>
      <c r="AC248" s="93"/>
    </row>
    <row r="249" spans="1:29" ht="57" customHeight="1" thickBot="1" x14ac:dyDescent="0.3">
      <c r="A249" s="131"/>
      <c r="B249" s="132"/>
      <c r="C249" s="330"/>
      <c r="D249" s="333"/>
      <c r="E249" s="336"/>
      <c r="F249" s="336"/>
      <c r="G249" s="339"/>
      <c r="H249" s="342"/>
      <c r="I249" s="336"/>
      <c r="J249" s="333"/>
      <c r="K249" s="39"/>
      <c r="L249" s="39"/>
      <c r="M249" s="60"/>
      <c r="N249" s="60"/>
      <c r="O249" s="88"/>
      <c r="P249" s="88"/>
      <c r="Q249" s="88"/>
      <c r="R249" s="88"/>
      <c r="S249" s="88"/>
      <c r="T249" s="88"/>
      <c r="U249" s="88"/>
      <c r="V249" s="88"/>
      <c r="W249" s="88"/>
      <c r="X249" s="69"/>
      <c r="Y249" s="69"/>
      <c r="Z249" s="69"/>
      <c r="AA249" s="69"/>
      <c r="AB249" s="52"/>
      <c r="AC249" s="94"/>
    </row>
    <row r="250" spans="1:29" ht="57" customHeight="1" x14ac:dyDescent="0.25">
      <c r="A250" s="119" t="s">
        <v>524</v>
      </c>
      <c r="B250" s="128" t="s">
        <v>525</v>
      </c>
      <c r="C250" s="328" t="s">
        <v>470</v>
      </c>
      <c r="D250" s="331" t="s">
        <v>526</v>
      </c>
      <c r="E250" s="334"/>
      <c r="F250" s="334"/>
      <c r="G250" s="337" t="s">
        <v>128</v>
      </c>
      <c r="H250" s="340"/>
      <c r="I250" s="334" t="s">
        <v>469</v>
      </c>
      <c r="J250" s="331" t="s">
        <v>497</v>
      </c>
      <c r="K250" s="38"/>
      <c r="L250" s="38"/>
      <c r="M250" s="61"/>
      <c r="N250" s="61"/>
      <c r="O250" s="89"/>
      <c r="P250" s="89"/>
      <c r="Q250" s="89"/>
      <c r="R250" s="89"/>
      <c r="S250" s="89"/>
      <c r="T250" s="89"/>
      <c r="U250" s="89"/>
      <c r="V250" s="89"/>
      <c r="W250" s="89"/>
      <c r="X250" s="70"/>
      <c r="Y250" s="70"/>
      <c r="Z250" s="70"/>
      <c r="AA250" s="70"/>
      <c r="AB250" s="50"/>
      <c r="AC250" s="92"/>
    </row>
    <row r="251" spans="1:29" ht="57" customHeight="1" x14ac:dyDescent="0.25">
      <c r="A251" s="129"/>
      <c r="B251" s="130"/>
      <c r="C251" s="329"/>
      <c r="D251" s="332"/>
      <c r="E251" s="335"/>
      <c r="F251" s="335"/>
      <c r="G251" s="338"/>
      <c r="H251" s="341"/>
      <c r="I251" s="335"/>
      <c r="J251" s="332"/>
      <c r="K251" s="56"/>
      <c r="L251" s="56"/>
      <c r="M251" s="55"/>
      <c r="N251" s="55"/>
      <c r="O251" s="87"/>
      <c r="P251" s="87"/>
      <c r="Q251" s="87"/>
      <c r="R251" s="87"/>
      <c r="S251" s="87"/>
      <c r="T251" s="87"/>
      <c r="U251" s="87"/>
      <c r="V251" s="87"/>
      <c r="W251" s="87"/>
      <c r="X251" s="68"/>
      <c r="Y251" s="68"/>
      <c r="Z251" s="68"/>
      <c r="AA251" s="68"/>
      <c r="AB251" s="51"/>
      <c r="AC251" s="93"/>
    </row>
    <row r="252" spans="1:29" ht="57" customHeight="1" thickBot="1" x14ac:dyDescent="0.3">
      <c r="A252" s="131"/>
      <c r="B252" s="132"/>
      <c r="C252" s="330"/>
      <c r="D252" s="333"/>
      <c r="E252" s="336"/>
      <c r="F252" s="336"/>
      <c r="G252" s="339"/>
      <c r="H252" s="342"/>
      <c r="I252" s="336"/>
      <c r="J252" s="333"/>
      <c r="K252" s="39"/>
      <c r="L252" s="39"/>
      <c r="M252" s="60"/>
      <c r="N252" s="60"/>
      <c r="O252" s="88"/>
      <c r="P252" s="88"/>
      <c r="Q252" s="88"/>
      <c r="R252" s="88"/>
      <c r="S252" s="88"/>
      <c r="T252" s="88"/>
      <c r="U252" s="88"/>
      <c r="V252" s="88"/>
      <c r="W252" s="88"/>
      <c r="X252" s="69"/>
      <c r="Y252" s="69"/>
      <c r="Z252" s="69"/>
      <c r="AA252" s="69"/>
      <c r="AB252" s="52"/>
      <c r="AC252" s="94"/>
    </row>
    <row r="253" spans="1:29" ht="57" customHeight="1" thickBot="1" x14ac:dyDescent="0.3">
      <c r="A253" s="152" t="s">
        <v>527</v>
      </c>
      <c r="B253" s="153" t="s">
        <v>528</v>
      </c>
      <c r="C253" s="345" t="s">
        <v>529</v>
      </c>
      <c r="D253" s="346"/>
      <c r="E253" s="148"/>
      <c r="F253" s="154"/>
      <c r="G253" s="154"/>
      <c r="H253" s="154"/>
      <c r="I253" s="154"/>
      <c r="J253" s="154"/>
      <c r="K253" s="154"/>
      <c r="L253" s="154"/>
      <c r="M253" s="154"/>
      <c r="N253" s="154"/>
      <c r="O253" s="141"/>
      <c r="P253" s="141"/>
      <c r="Q253" s="141"/>
      <c r="R253" s="141"/>
      <c r="S253" s="141"/>
      <c r="T253" s="141"/>
      <c r="U253" s="141"/>
      <c r="V253" s="141"/>
      <c r="W253" s="141"/>
      <c r="X253" s="142"/>
      <c r="Y253" s="142"/>
      <c r="Z253" s="142"/>
      <c r="AA253" s="142"/>
      <c r="AB253" s="154"/>
      <c r="AC253" s="155"/>
    </row>
    <row r="254" spans="1:29" ht="57" customHeight="1" x14ac:dyDescent="0.25">
      <c r="A254" s="119" t="s">
        <v>530</v>
      </c>
      <c r="B254" s="128" t="s">
        <v>531</v>
      </c>
      <c r="C254" s="328" t="s">
        <v>532</v>
      </c>
      <c r="D254" s="331" t="s">
        <v>533</v>
      </c>
      <c r="E254" s="334"/>
      <c r="F254" s="334"/>
      <c r="G254" s="337" t="s">
        <v>128</v>
      </c>
      <c r="H254" s="340"/>
      <c r="I254" s="334"/>
      <c r="J254" s="331"/>
      <c r="K254" s="38"/>
      <c r="L254" s="38"/>
      <c r="M254" s="61"/>
      <c r="N254" s="61"/>
      <c r="O254" s="89"/>
      <c r="P254" s="89"/>
      <c r="Q254" s="89"/>
      <c r="R254" s="89"/>
      <c r="S254" s="89"/>
      <c r="T254" s="89"/>
      <c r="U254" s="89"/>
      <c r="V254" s="89"/>
      <c r="W254" s="89"/>
      <c r="X254" s="70"/>
      <c r="Y254" s="70"/>
      <c r="Z254" s="70"/>
      <c r="AA254" s="70"/>
      <c r="AB254" s="50"/>
      <c r="AC254" s="92"/>
    </row>
    <row r="255" spans="1:29" ht="57" customHeight="1" x14ac:dyDescent="0.25">
      <c r="A255" s="129"/>
      <c r="B255" s="130"/>
      <c r="C255" s="329"/>
      <c r="D255" s="332"/>
      <c r="E255" s="335"/>
      <c r="F255" s="335"/>
      <c r="G255" s="338"/>
      <c r="H255" s="341"/>
      <c r="I255" s="335"/>
      <c r="J255" s="332"/>
      <c r="K255" s="56"/>
      <c r="L255" s="56"/>
      <c r="M255" s="55"/>
      <c r="N255" s="55"/>
      <c r="O255" s="87"/>
      <c r="P255" s="87"/>
      <c r="Q255" s="87"/>
      <c r="R255" s="87"/>
      <c r="S255" s="87"/>
      <c r="T255" s="87"/>
      <c r="U255" s="87"/>
      <c r="V255" s="87"/>
      <c r="W255" s="87"/>
      <c r="X255" s="68"/>
      <c r="Y255" s="68"/>
      <c r="Z255" s="68"/>
      <c r="AA255" s="68"/>
      <c r="AB255" s="51"/>
      <c r="AC255" s="93"/>
    </row>
    <row r="256" spans="1:29" ht="57" customHeight="1" thickBot="1" x14ac:dyDescent="0.3">
      <c r="A256" s="131"/>
      <c r="B256" s="132"/>
      <c r="C256" s="330"/>
      <c r="D256" s="333"/>
      <c r="E256" s="336"/>
      <c r="F256" s="336"/>
      <c r="G256" s="339"/>
      <c r="H256" s="342"/>
      <c r="I256" s="336"/>
      <c r="J256" s="333"/>
      <c r="K256" s="39"/>
      <c r="L256" s="39"/>
      <c r="M256" s="60"/>
      <c r="N256" s="60"/>
      <c r="O256" s="88"/>
      <c r="P256" s="88"/>
      <c r="Q256" s="88"/>
      <c r="R256" s="88"/>
      <c r="S256" s="88"/>
      <c r="T256" s="88"/>
      <c r="U256" s="88"/>
      <c r="V256" s="88"/>
      <c r="W256" s="88"/>
      <c r="X256" s="69"/>
      <c r="Y256" s="69"/>
      <c r="Z256" s="69"/>
      <c r="AA256" s="69"/>
      <c r="AB256" s="52"/>
      <c r="AC256" s="94"/>
    </row>
    <row r="257" spans="1:29" ht="57" customHeight="1" x14ac:dyDescent="0.25">
      <c r="A257" s="119" t="s">
        <v>534</v>
      </c>
      <c r="B257" s="128" t="s">
        <v>535</v>
      </c>
      <c r="C257" s="328" t="s">
        <v>536</v>
      </c>
      <c r="D257" s="331" t="s">
        <v>537</v>
      </c>
      <c r="E257" s="334"/>
      <c r="F257" s="334"/>
      <c r="G257" s="337" t="s">
        <v>128</v>
      </c>
      <c r="H257" s="340"/>
      <c r="I257" s="334"/>
      <c r="J257" s="331"/>
      <c r="K257" s="38"/>
      <c r="L257" s="38"/>
      <c r="M257" s="61"/>
      <c r="N257" s="61"/>
      <c r="O257" s="89"/>
      <c r="P257" s="89"/>
      <c r="Q257" s="89"/>
      <c r="R257" s="89"/>
      <c r="S257" s="89"/>
      <c r="T257" s="89"/>
      <c r="U257" s="89"/>
      <c r="V257" s="89"/>
      <c r="W257" s="89"/>
      <c r="X257" s="70"/>
      <c r="Y257" s="70"/>
      <c r="Z257" s="70"/>
      <c r="AA257" s="70"/>
      <c r="AB257" s="50"/>
      <c r="AC257" s="92"/>
    </row>
    <row r="258" spans="1:29" ht="57" customHeight="1" x14ac:dyDescent="0.25">
      <c r="A258" s="129"/>
      <c r="B258" s="130"/>
      <c r="C258" s="329"/>
      <c r="D258" s="332"/>
      <c r="E258" s="335"/>
      <c r="F258" s="335"/>
      <c r="G258" s="338"/>
      <c r="H258" s="341"/>
      <c r="I258" s="335"/>
      <c r="J258" s="332"/>
      <c r="K258" s="56"/>
      <c r="L258" s="56"/>
      <c r="M258" s="55"/>
      <c r="N258" s="55"/>
      <c r="O258" s="87"/>
      <c r="P258" s="87"/>
      <c r="Q258" s="87"/>
      <c r="R258" s="87"/>
      <c r="S258" s="87"/>
      <c r="T258" s="87"/>
      <c r="U258" s="87"/>
      <c r="V258" s="87"/>
      <c r="W258" s="87"/>
      <c r="X258" s="68"/>
      <c r="Y258" s="68"/>
      <c r="Z258" s="68"/>
      <c r="AA258" s="68"/>
      <c r="AB258" s="51"/>
      <c r="AC258" s="93"/>
    </row>
    <row r="259" spans="1:29" ht="57" customHeight="1" thickBot="1" x14ac:dyDescent="0.3">
      <c r="A259" s="131"/>
      <c r="B259" s="132"/>
      <c r="C259" s="330"/>
      <c r="D259" s="333"/>
      <c r="E259" s="336"/>
      <c r="F259" s="336"/>
      <c r="G259" s="339"/>
      <c r="H259" s="342"/>
      <c r="I259" s="336"/>
      <c r="J259" s="333"/>
      <c r="K259" s="39"/>
      <c r="L259" s="39"/>
      <c r="M259" s="60"/>
      <c r="N259" s="60"/>
      <c r="O259" s="88"/>
      <c r="P259" s="88"/>
      <c r="Q259" s="88"/>
      <c r="R259" s="88"/>
      <c r="S259" s="88"/>
      <c r="T259" s="88"/>
      <c r="U259" s="88"/>
      <c r="V259" s="88"/>
      <c r="W259" s="88"/>
      <c r="X259" s="69"/>
      <c r="Y259" s="69"/>
      <c r="Z259" s="69"/>
      <c r="AA259" s="69"/>
      <c r="AB259" s="52"/>
      <c r="AC259" s="94"/>
    </row>
    <row r="260" spans="1:29" ht="57" customHeight="1" x14ac:dyDescent="0.25">
      <c r="A260" s="119" t="s">
        <v>538</v>
      </c>
      <c r="B260" s="128" t="s">
        <v>539</v>
      </c>
      <c r="C260" s="328" t="s">
        <v>540</v>
      </c>
      <c r="D260" s="331" t="s">
        <v>541</v>
      </c>
      <c r="E260" s="334"/>
      <c r="F260" s="334"/>
      <c r="G260" s="337" t="s">
        <v>128</v>
      </c>
      <c r="H260" s="340"/>
      <c r="I260" s="334"/>
      <c r="J260" s="331"/>
      <c r="K260" s="38"/>
      <c r="L260" s="38"/>
      <c r="M260" s="61"/>
      <c r="N260" s="61"/>
      <c r="O260" s="89"/>
      <c r="P260" s="89"/>
      <c r="Q260" s="89"/>
      <c r="R260" s="89"/>
      <c r="S260" s="89"/>
      <c r="T260" s="89"/>
      <c r="U260" s="89"/>
      <c r="V260" s="89"/>
      <c r="W260" s="89"/>
      <c r="X260" s="70"/>
      <c r="Y260" s="70"/>
      <c r="Z260" s="70"/>
      <c r="AA260" s="70"/>
      <c r="AB260" s="50"/>
      <c r="AC260" s="92"/>
    </row>
    <row r="261" spans="1:29" ht="57" customHeight="1" x14ac:dyDescent="0.25">
      <c r="A261" s="129"/>
      <c r="B261" s="130"/>
      <c r="C261" s="329"/>
      <c r="D261" s="332"/>
      <c r="E261" s="335"/>
      <c r="F261" s="335"/>
      <c r="G261" s="338"/>
      <c r="H261" s="341"/>
      <c r="I261" s="335"/>
      <c r="J261" s="332"/>
      <c r="K261" s="56"/>
      <c r="L261" s="56"/>
      <c r="M261" s="55"/>
      <c r="N261" s="55"/>
      <c r="O261" s="87"/>
      <c r="P261" s="87"/>
      <c r="Q261" s="87"/>
      <c r="R261" s="87"/>
      <c r="S261" s="87"/>
      <c r="T261" s="87"/>
      <c r="U261" s="87"/>
      <c r="V261" s="87"/>
      <c r="W261" s="87"/>
      <c r="X261" s="68"/>
      <c r="Y261" s="68"/>
      <c r="Z261" s="68"/>
      <c r="AA261" s="68"/>
      <c r="AB261" s="51"/>
      <c r="AC261" s="93"/>
    </row>
    <row r="262" spans="1:29" ht="57" customHeight="1" thickBot="1" x14ac:dyDescent="0.3">
      <c r="A262" s="131"/>
      <c r="B262" s="132"/>
      <c r="C262" s="330"/>
      <c r="D262" s="333"/>
      <c r="E262" s="336"/>
      <c r="F262" s="336"/>
      <c r="G262" s="339"/>
      <c r="H262" s="342"/>
      <c r="I262" s="336"/>
      <c r="J262" s="333"/>
      <c r="K262" s="39"/>
      <c r="L262" s="39"/>
      <c r="M262" s="60"/>
      <c r="N262" s="60"/>
      <c r="O262" s="88"/>
      <c r="P262" s="88"/>
      <c r="Q262" s="88"/>
      <c r="R262" s="88"/>
      <c r="S262" s="88"/>
      <c r="T262" s="88"/>
      <c r="U262" s="88"/>
      <c r="V262" s="88"/>
      <c r="W262" s="88"/>
      <c r="X262" s="69"/>
      <c r="Y262" s="69"/>
      <c r="Z262" s="69"/>
      <c r="AA262" s="69"/>
      <c r="AB262" s="52"/>
      <c r="AC262" s="94"/>
    </row>
    <row r="263" spans="1:29" ht="57" customHeight="1" x14ac:dyDescent="0.25">
      <c r="A263" s="119" t="s">
        <v>542</v>
      </c>
      <c r="B263" s="128" t="s">
        <v>543</v>
      </c>
      <c r="C263" s="328" t="s">
        <v>544</v>
      </c>
      <c r="D263" s="331" t="s">
        <v>545</v>
      </c>
      <c r="E263" s="334"/>
      <c r="F263" s="334"/>
      <c r="G263" s="337" t="s">
        <v>128</v>
      </c>
      <c r="H263" s="340"/>
      <c r="I263" s="334"/>
      <c r="J263" s="331"/>
      <c r="K263" s="38"/>
      <c r="L263" s="38"/>
      <c r="M263" s="61"/>
      <c r="N263" s="61"/>
      <c r="O263" s="89"/>
      <c r="P263" s="89"/>
      <c r="Q263" s="89"/>
      <c r="R263" s="89"/>
      <c r="S263" s="89"/>
      <c r="T263" s="89"/>
      <c r="U263" s="89"/>
      <c r="V263" s="89"/>
      <c r="W263" s="89"/>
      <c r="X263" s="70"/>
      <c r="Y263" s="70"/>
      <c r="Z263" s="70"/>
      <c r="AA263" s="70"/>
      <c r="AB263" s="50"/>
      <c r="AC263" s="92"/>
    </row>
    <row r="264" spans="1:29" ht="57" customHeight="1" x14ac:dyDescent="0.25">
      <c r="A264" s="129"/>
      <c r="B264" s="130"/>
      <c r="C264" s="329"/>
      <c r="D264" s="332"/>
      <c r="E264" s="335"/>
      <c r="F264" s="335"/>
      <c r="G264" s="338"/>
      <c r="H264" s="341"/>
      <c r="I264" s="335"/>
      <c r="J264" s="332"/>
      <c r="K264" s="56"/>
      <c r="L264" s="56"/>
      <c r="M264" s="55"/>
      <c r="N264" s="55"/>
      <c r="O264" s="87"/>
      <c r="P264" s="87"/>
      <c r="Q264" s="87"/>
      <c r="R264" s="87"/>
      <c r="S264" s="87"/>
      <c r="T264" s="87"/>
      <c r="U264" s="87"/>
      <c r="V264" s="87"/>
      <c r="W264" s="87"/>
      <c r="X264" s="68"/>
      <c r="Y264" s="68"/>
      <c r="Z264" s="68"/>
      <c r="AA264" s="68"/>
      <c r="AB264" s="51"/>
      <c r="AC264" s="93"/>
    </row>
    <row r="265" spans="1:29" ht="57" customHeight="1" thickBot="1" x14ac:dyDescent="0.3">
      <c r="A265" s="131"/>
      <c r="B265" s="132"/>
      <c r="C265" s="330"/>
      <c r="D265" s="333"/>
      <c r="E265" s="336"/>
      <c r="F265" s="336"/>
      <c r="G265" s="339"/>
      <c r="H265" s="342"/>
      <c r="I265" s="336"/>
      <c r="J265" s="333"/>
      <c r="K265" s="39"/>
      <c r="L265" s="39"/>
      <c r="M265" s="60"/>
      <c r="N265" s="60"/>
      <c r="O265" s="88"/>
      <c r="P265" s="88"/>
      <c r="Q265" s="88"/>
      <c r="R265" s="88"/>
      <c r="S265" s="88"/>
      <c r="T265" s="88"/>
      <c r="U265" s="88"/>
      <c r="V265" s="88"/>
      <c r="W265" s="88"/>
      <c r="X265" s="69"/>
      <c r="Y265" s="69"/>
      <c r="Z265" s="69"/>
      <c r="AA265" s="69"/>
      <c r="AB265" s="52"/>
      <c r="AC265" s="94"/>
    </row>
    <row r="266" spans="1:29" ht="57" customHeight="1" x14ac:dyDescent="0.25">
      <c r="A266" s="119" t="s">
        <v>546</v>
      </c>
      <c r="B266" s="128" t="s">
        <v>547</v>
      </c>
      <c r="C266" s="328" t="s">
        <v>548</v>
      </c>
      <c r="D266" s="331" t="s">
        <v>549</v>
      </c>
      <c r="E266" s="334"/>
      <c r="F266" s="334"/>
      <c r="G266" s="337" t="s">
        <v>128</v>
      </c>
      <c r="H266" s="340"/>
      <c r="I266" s="334"/>
      <c r="J266" s="331"/>
      <c r="K266" s="38"/>
      <c r="L266" s="38"/>
      <c r="M266" s="61"/>
      <c r="N266" s="61"/>
      <c r="O266" s="89"/>
      <c r="P266" s="89"/>
      <c r="Q266" s="89"/>
      <c r="R266" s="89"/>
      <c r="S266" s="89"/>
      <c r="T266" s="89"/>
      <c r="U266" s="89"/>
      <c r="V266" s="89"/>
      <c r="W266" s="89"/>
      <c r="X266" s="70"/>
      <c r="Y266" s="70"/>
      <c r="Z266" s="70"/>
      <c r="AA266" s="70"/>
      <c r="AB266" s="50"/>
      <c r="AC266" s="92"/>
    </row>
    <row r="267" spans="1:29" ht="57" customHeight="1" x14ac:dyDescent="0.25">
      <c r="A267" s="129"/>
      <c r="B267" s="130"/>
      <c r="C267" s="329"/>
      <c r="D267" s="332"/>
      <c r="E267" s="335"/>
      <c r="F267" s="335"/>
      <c r="G267" s="338"/>
      <c r="H267" s="341"/>
      <c r="I267" s="335"/>
      <c r="J267" s="332"/>
      <c r="K267" s="56"/>
      <c r="L267" s="56"/>
      <c r="M267" s="55"/>
      <c r="N267" s="55"/>
      <c r="O267" s="87"/>
      <c r="P267" s="87"/>
      <c r="Q267" s="87"/>
      <c r="R267" s="87"/>
      <c r="S267" s="87"/>
      <c r="T267" s="87"/>
      <c r="U267" s="87"/>
      <c r="V267" s="87"/>
      <c r="W267" s="87"/>
      <c r="X267" s="68"/>
      <c r="Y267" s="68"/>
      <c r="Z267" s="68"/>
      <c r="AA267" s="68"/>
      <c r="AB267" s="51"/>
      <c r="AC267" s="93"/>
    </row>
    <row r="268" spans="1:29" ht="57" customHeight="1" thickBot="1" x14ac:dyDescent="0.3">
      <c r="A268" s="131"/>
      <c r="B268" s="132"/>
      <c r="C268" s="330"/>
      <c r="D268" s="333"/>
      <c r="E268" s="336"/>
      <c r="F268" s="336"/>
      <c r="G268" s="339"/>
      <c r="H268" s="342"/>
      <c r="I268" s="336"/>
      <c r="J268" s="333"/>
      <c r="K268" s="39"/>
      <c r="L268" s="39"/>
      <c r="M268" s="60"/>
      <c r="N268" s="60"/>
      <c r="O268" s="88"/>
      <c r="P268" s="88"/>
      <c r="Q268" s="88"/>
      <c r="R268" s="88"/>
      <c r="S268" s="88"/>
      <c r="T268" s="88"/>
      <c r="U268" s="88"/>
      <c r="V268" s="88"/>
      <c r="W268" s="88"/>
      <c r="X268" s="69"/>
      <c r="Y268" s="69"/>
      <c r="Z268" s="69"/>
      <c r="AA268" s="69"/>
      <c r="AB268" s="52"/>
      <c r="AC268" s="94"/>
    </row>
    <row r="269" spans="1:29" ht="57" customHeight="1" x14ac:dyDescent="0.25">
      <c r="A269" s="119" t="s">
        <v>550</v>
      </c>
      <c r="B269" s="128" t="s">
        <v>547</v>
      </c>
      <c r="C269" s="328" t="s">
        <v>551</v>
      </c>
      <c r="D269" s="331" t="s">
        <v>552</v>
      </c>
      <c r="E269" s="334"/>
      <c r="F269" s="334"/>
      <c r="G269" s="337" t="s">
        <v>128</v>
      </c>
      <c r="H269" s="340"/>
      <c r="I269" s="334"/>
      <c r="J269" s="331"/>
      <c r="K269" s="38"/>
      <c r="L269" s="38"/>
      <c r="M269" s="61"/>
      <c r="N269" s="61"/>
      <c r="O269" s="89"/>
      <c r="P269" s="89"/>
      <c r="Q269" s="89"/>
      <c r="R269" s="89"/>
      <c r="S269" s="89"/>
      <c r="T269" s="89"/>
      <c r="U269" s="89"/>
      <c r="V269" s="89"/>
      <c r="W269" s="89"/>
      <c r="X269" s="70"/>
      <c r="Y269" s="70"/>
      <c r="Z269" s="70"/>
      <c r="AA269" s="70"/>
      <c r="AB269" s="50"/>
      <c r="AC269" s="92"/>
    </row>
    <row r="270" spans="1:29" ht="57" customHeight="1" x14ac:dyDescent="0.25">
      <c r="A270" s="129"/>
      <c r="B270" s="130"/>
      <c r="C270" s="329"/>
      <c r="D270" s="332"/>
      <c r="E270" s="335"/>
      <c r="F270" s="335"/>
      <c r="G270" s="338"/>
      <c r="H270" s="341"/>
      <c r="I270" s="335"/>
      <c r="J270" s="332"/>
      <c r="K270" s="56"/>
      <c r="L270" s="56"/>
      <c r="M270" s="55"/>
      <c r="N270" s="55"/>
      <c r="O270" s="87"/>
      <c r="P270" s="87"/>
      <c r="Q270" s="87"/>
      <c r="R270" s="87"/>
      <c r="S270" s="87"/>
      <c r="T270" s="87"/>
      <c r="U270" s="87"/>
      <c r="V270" s="87"/>
      <c r="W270" s="87"/>
      <c r="X270" s="68"/>
      <c r="Y270" s="68"/>
      <c r="Z270" s="68"/>
      <c r="AA270" s="68"/>
      <c r="AB270" s="51"/>
      <c r="AC270" s="93"/>
    </row>
    <row r="271" spans="1:29" ht="57" customHeight="1" thickBot="1" x14ac:dyDescent="0.3">
      <c r="A271" s="131"/>
      <c r="B271" s="132"/>
      <c r="C271" s="330"/>
      <c r="D271" s="333"/>
      <c r="E271" s="336"/>
      <c r="F271" s="336"/>
      <c r="G271" s="339"/>
      <c r="H271" s="342"/>
      <c r="I271" s="336"/>
      <c r="J271" s="333"/>
      <c r="K271" s="39"/>
      <c r="L271" s="39"/>
      <c r="M271" s="60"/>
      <c r="N271" s="60"/>
      <c r="O271" s="88"/>
      <c r="P271" s="88"/>
      <c r="Q271" s="88"/>
      <c r="R271" s="88"/>
      <c r="S271" s="88"/>
      <c r="T271" s="88"/>
      <c r="U271" s="88"/>
      <c r="V271" s="88"/>
      <c r="W271" s="88"/>
      <c r="X271" s="69"/>
      <c r="Y271" s="69"/>
      <c r="Z271" s="69"/>
      <c r="AA271" s="69"/>
      <c r="AB271" s="52"/>
      <c r="AC271" s="94"/>
    </row>
    <row r="272" spans="1:29" ht="57" customHeight="1" x14ac:dyDescent="0.25">
      <c r="A272" s="119" t="s">
        <v>553</v>
      </c>
      <c r="B272" s="128" t="s">
        <v>554</v>
      </c>
      <c r="C272" s="328" t="s">
        <v>555</v>
      </c>
      <c r="D272" s="331" t="s">
        <v>541</v>
      </c>
      <c r="E272" s="334"/>
      <c r="F272" s="334"/>
      <c r="G272" s="337" t="s">
        <v>128</v>
      </c>
      <c r="H272" s="340"/>
      <c r="I272" s="334"/>
      <c r="J272" s="331"/>
      <c r="K272" s="38"/>
      <c r="L272" s="38"/>
      <c r="M272" s="61"/>
      <c r="N272" s="61"/>
      <c r="O272" s="89"/>
      <c r="P272" s="89"/>
      <c r="Q272" s="89"/>
      <c r="R272" s="89"/>
      <c r="S272" s="89"/>
      <c r="T272" s="89"/>
      <c r="U272" s="89"/>
      <c r="V272" s="89"/>
      <c r="W272" s="89"/>
      <c r="X272" s="70"/>
      <c r="Y272" s="70"/>
      <c r="Z272" s="70"/>
      <c r="AA272" s="70"/>
      <c r="AB272" s="50"/>
      <c r="AC272" s="92"/>
    </row>
    <row r="273" spans="1:29" ht="57" customHeight="1" x14ac:dyDescent="0.25">
      <c r="A273" s="129"/>
      <c r="B273" s="130"/>
      <c r="C273" s="329"/>
      <c r="D273" s="332"/>
      <c r="E273" s="335"/>
      <c r="F273" s="335"/>
      <c r="G273" s="338"/>
      <c r="H273" s="341"/>
      <c r="I273" s="335"/>
      <c r="J273" s="332"/>
      <c r="K273" s="56"/>
      <c r="L273" s="56"/>
      <c r="M273" s="55"/>
      <c r="N273" s="55"/>
      <c r="O273" s="87"/>
      <c r="P273" s="87"/>
      <c r="Q273" s="87"/>
      <c r="R273" s="87"/>
      <c r="S273" s="87"/>
      <c r="T273" s="87"/>
      <c r="U273" s="87"/>
      <c r="V273" s="87"/>
      <c r="W273" s="87"/>
      <c r="X273" s="68"/>
      <c r="Y273" s="68"/>
      <c r="Z273" s="68"/>
      <c r="AA273" s="68"/>
      <c r="AB273" s="51"/>
      <c r="AC273" s="93"/>
    </row>
    <row r="274" spans="1:29" ht="57" customHeight="1" thickBot="1" x14ac:dyDescent="0.3">
      <c r="A274" s="131"/>
      <c r="B274" s="132"/>
      <c r="C274" s="330"/>
      <c r="D274" s="333"/>
      <c r="E274" s="336"/>
      <c r="F274" s="336"/>
      <c r="G274" s="339"/>
      <c r="H274" s="342"/>
      <c r="I274" s="336"/>
      <c r="J274" s="333"/>
      <c r="K274" s="39"/>
      <c r="L274" s="39"/>
      <c r="M274" s="60"/>
      <c r="N274" s="60"/>
      <c r="O274" s="88"/>
      <c r="P274" s="88"/>
      <c r="Q274" s="88"/>
      <c r="R274" s="88"/>
      <c r="S274" s="88"/>
      <c r="T274" s="88"/>
      <c r="U274" s="88"/>
      <c r="V274" s="88"/>
      <c r="W274" s="88"/>
      <c r="X274" s="69"/>
      <c r="Y274" s="69"/>
      <c r="Z274" s="69"/>
      <c r="AA274" s="69"/>
      <c r="AB274" s="52"/>
      <c r="AC274" s="94"/>
    </row>
    <row r="275" spans="1:29" ht="57" customHeight="1" x14ac:dyDescent="0.25">
      <c r="A275" s="119" t="s">
        <v>553</v>
      </c>
      <c r="B275" s="128" t="s">
        <v>556</v>
      </c>
      <c r="C275" s="328" t="s">
        <v>557</v>
      </c>
      <c r="D275" s="331" t="s">
        <v>558</v>
      </c>
      <c r="E275" s="334"/>
      <c r="F275" s="334"/>
      <c r="G275" s="337" t="s">
        <v>128</v>
      </c>
      <c r="H275" s="340"/>
      <c r="I275" s="334"/>
      <c r="J275" s="331"/>
      <c r="K275" s="38"/>
      <c r="L275" s="38"/>
      <c r="M275" s="61"/>
      <c r="N275" s="61"/>
      <c r="O275" s="89"/>
      <c r="P275" s="89"/>
      <c r="Q275" s="89"/>
      <c r="R275" s="89"/>
      <c r="S275" s="89"/>
      <c r="T275" s="89"/>
      <c r="U275" s="89"/>
      <c r="V275" s="89"/>
      <c r="W275" s="89"/>
      <c r="X275" s="70"/>
      <c r="Y275" s="70"/>
      <c r="Z275" s="70"/>
      <c r="AA275" s="70"/>
      <c r="AB275" s="50"/>
      <c r="AC275" s="92"/>
    </row>
    <row r="276" spans="1:29" ht="57" customHeight="1" x14ac:dyDescent="0.25">
      <c r="A276" s="129"/>
      <c r="B276" s="130"/>
      <c r="C276" s="329"/>
      <c r="D276" s="332"/>
      <c r="E276" s="335"/>
      <c r="F276" s="335"/>
      <c r="G276" s="338"/>
      <c r="H276" s="341"/>
      <c r="I276" s="335"/>
      <c r="J276" s="332"/>
      <c r="K276" s="56"/>
      <c r="L276" s="56"/>
      <c r="M276" s="55"/>
      <c r="N276" s="55"/>
      <c r="O276" s="87"/>
      <c r="P276" s="87"/>
      <c r="Q276" s="87"/>
      <c r="R276" s="87"/>
      <c r="S276" s="87"/>
      <c r="T276" s="87"/>
      <c r="U276" s="87"/>
      <c r="V276" s="87"/>
      <c r="W276" s="87"/>
      <c r="X276" s="68"/>
      <c r="Y276" s="68"/>
      <c r="Z276" s="68"/>
      <c r="AA276" s="68"/>
      <c r="AB276" s="51"/>
      <c r="AC276" s="93"/>
    </row>
    <row r="277" spans="1:29" ht="57" customHeight="1" thickBot="1" x14ac:dyDescent="0.3">
      <c r="A277" s="131"/>
      <c r="B277" s="132"/>
      <c r="C277" s="330"/>
      <c r="D277" s="333"/>
      <c r="E277" s="336"/>
      <c r="F277" s="336"/>
      <c r="G277" s="339"/>
      <c r="H277" s="342"/>
      <c r="I277" s="336"/>
      <c r="J277" s="333"/>
      <c r="K277" s="39"/>
      <c r="L277" s="39"/>
      <c r="M277" s="60"/>
      <c r="N277" s="60"/>
      <c r="O277" s="88"/>
      <c r="P277" s="88"/>
      <c r="Q277" s="88"/>
      <c r="R277" s="88"/>
      <c r="S277" s="88"/>
      <c r="T277" s="88"/>
      <c r="U277" s="88"/>
      <c r="V277" s="88"/>
      <c r="W277" s="88"/>
      <c r="X277" s="69"/>
      <c r="Y277" s="69"/>
      <c r="Z277" s="69"/>
      <c r="AA277" s="69"/>
      <c r="AB277" s="52"/>
      <c r="AC277" s="94"/>
    </row>
    <row r="278" spans="1:29" ht="57" customHeight="1" x14ac:dyDescent="0.25">
      <c r="A278" s="119" t="s">
        <v>553</v>
      </c>
      <c r="B278" s="128" t="s">
        <v>559</v>
      </c>
      <c r="C278" s="328" t="s">
        <v>560</v>
      </c>
      <c r="D278" s="331" t="s">
        <v>561</v>
      </c>
      <c r="E278" s="334"/>
      <c r="F278" s="334"/>
      <c r="G278" s="337" t="s">
        <v>128</v>
      </c>
      <c r="H278" s="340"/>
      <c r="I278" s="334"/>
      <c r="J278" s="331"/>
      <c r="K278" s="38"/>
      <c r="L278" s="38"/>
      <c r="M278" s="61"/>
      <c r="N278" s="61"/>
      <c r="O278" s="89"/>
      <c r="P278" s="89"/>
      <c r="Q278" s="89"/>
      <c r="R278" s="89"/>
      <c r="S278" s="89"/>
      <c r="T278" s="89"/>
      <c r="U278" s="89"/>
      <c r="V278" s="89"/>
      <c r="W278" s="89"/>
      <c r="X278" s="70"/>
      <c r="Y278" s="70"/>
      <c r="Z278" s="70"/>
      <c r="AA278" s="70"/>
      <c r="AB278" s="50"/>
      <c r="AC278" s="92"/>
    </row>
    <row r="279" spans="1:29" ht="57" customHeight="1" x14ac:dyDescent="0.25">
      <c r="A279" s="129"/>
      <c r="B279" s="130"/>
      <c r="C279" s="329"/>
      <c r="D279" s="332"/>
      <c r="E279" s="335"/>
      <c r="F279" s="335"/>
      <c r="G279" s="338"/>
      <c r="H279" s="341"/>
      <c r="I279" s="335"/>
      <c r="J279" s="332"/>
      <c r="K279" s="56"/>
      <c r="L279" s="56"/>
      <c r="M279" s="55"/>
      <c r="N279" s="55"/>
      <c r="O279" s="87"/>
      <c r="P279" s="87"/>
      <c r="Q279" s="87"/>
      <c r="R279" s="87"/>
      <c r="S279" s="87"/>
      <c r="T279" s="87"/>
      <c r="U279" s="87"/>
      <c r="V279" s="87"/>
      <c r="W279" s="87"/>
      <c r="X279" s="68"/>
      <c r="Y279" s="68"/>
      <c r="Z279" s="68"/>
      <c r="AA279" s="68"/>
      <c r="AB279" s="51"/>
      <c r="AC279" s="93"/>
    </row>
    <row r="280" spans="1:29" ht="57" customHeight="1" thickBot="1" x14ac:dyDescent="0.3">
      <c r="A280" s="131"/>
      <c r="B280" s="132"/>
      <c r="C280" s="330"/>
      <c r="D280" s="333"/>
      <c r="E280" s="336"/>
      <c r="F280" s="336"/>
      <c r="G280" s="339"/>
      <c r="H280" s="342"/>
      <c r="I280" s="336"/>
      <c r="J280" s="333"/>
      <c r="K280" s="39"/>
      <c r="L280" s="39"/>
      <c r="M280" s="60"/>
      <c r="N280" s="60"/>
      <c r="O280" s="88"/>
      <c r="P280" s="88"/>
      <c r="Q280" s="88"/>
      <c r="R280" s="88"/>
      <c r="S280" s="88"/>
      <c r="T280" s="88"/>
      <c r="U280" s="88"/>
      <c r="V280" s="88"/>
      <c r="W280" s="88"/>
      <c r="X280" s="69"/>
      <c r="Y280" s="69"/>
      <c r="Z280" s="69"/>
      <c r="AA280" s="69"/>
      <c r="AB280" s="52"/>
      <c r="AC280" s="94"/>
    </row>
    <row r="281" spans="1:29" ht="57" customHeight="1" thickBot="1" x14ac:dyDescent="0.3">
      <c r="A281" s="152">
        <v>7</v>
      </c>
      <c r="B281" s="156" t="s">
        <v>562</v>
      </c>
      <c r="C281" s="345" t="s">
        <v>563</v>
      </c>
      <c r="D281" s="346"/>
      <c r="E281" s="148"/>
      <c r="F281" s="154"/>
      <c r="G281" s="154"/>
      <c r="H281" s="154"/>
      <c r="I281" s="154"/>
      <c r="J281" s="154"/>
      <c r="K281" s="154"/>
      <c r="L281" s="154"/>
      <c r="M281" s="154"/>
      <c r="N281" s="154"/>
      <c r="O281" s="141"/>
      <c r="P281" s="141"/>
      <c r="Q281" s="141"/>
      <c r="R281" s="141"/>
      <c r="S281" s="141"/>
      <c r="T281" s="141"/>
      <c r="U281" s="141"/>
      <c r="V281" s="141"/>
      <c r="W281" s="141"/>
      <c r="X281" s="142"/>
      <c r="Y281" s="142"/>
      <c r="Z281" s="142"/>
      <c r="AA281" s="142"/>
      <c r="AB281" s="154"/>
      <c r="AC281" s="155"/>
    </row>
    <row r="282" spans="1:29" ht="57" customHeight="1" thickBot="1" x14ac:dyDescent="0.3">
      <c r="A282" s="127"/>
      <c r="B282" s="138" t="s">
        <v>564</v>
      </c>
      <c r="C282" s="345" t="s">
        <v>565</v>
      </c>
      <c r="D282" s="346"/>
      <c r="E282" s="148"/>
      <c r="F282" s="138"/>
      <c r="G282" s="154"/>
      <c r="H282" s="154"/>
      <c r="I282" s="154"/>
      <c r="J282" s="138"/>
      <c r="K282" s="135"/>
      <c r="L282" s="135"/>
      <c r="M282" s="135"/>
      <c r="N282" s="135"/>
      <c r="O282" s="141"/>
      <c r="P282" s="141"/>
      <c r="Q282" s="141"/>
      <c r="R282" s="141"/>
      <c r="S282" s="141"/>
      <c r="T282" s="141"/>
      <c r="U282" s="141"/>
      <c r="V282" s="141"/>
      <c r="W282" s="141"/>
      <c r="X282" s="142"/>
      <c r="Y282" s="142"/>
      <c r="Z282" s="142"/>
      <c r="AA282" s="142"/>
      <c r="AB282" s="135"/>
      <c r="AC282" s="54"/>
    </row>
    <row r="283" spans="1:29" ht="57" customHeight="1" x14ac:dyDescent="0.25">
      <c r="A283" s="119" t="s">
        <v>566</v>
      </c>
      <c r="B283" s="128" t="s">
        <v>567</v>
      </c>
      <c r="C283" s="328" t="s">
        <v>568</v>
      </c>
      <c r="D283" s="331" t="s">
        <v>569</v>
      </c>
      <c r="E283" s="334"/>
      <c r="F283" s="334"/>
      <c r="G283" s="337" t="s">
        <v>128</v>
      </c>
      <c r="H283" s="340"/>
      <c r="I283" s="334" t="s">
        <v>570</v>
      </c>
      <c r="J283" s="331" t="s">
        <v>568</v>
      </c>
      <c r="K283" s="38"/>
      <c r="L283" s="38"/>
      <c r="M283" s="61"/>
      <c r="N283" s="61"/>
      <c r="O283" s="89"/>
      <c r="P283" s="89"/>
      <c r="Q283" s="89"/>
      <c r="R283" s="89"/>
      <c r="S283" s="89"/>
      <c r="T283" s="89"/>
      <c r="U283" s="89"/>
      <c r="V283" s="89"/>
      <c r="W283" s="89"/>
      <c r="X283" s="70"/>
      <c r="Y283" s="70"/>
      <c r="Z283" s="70"/>
      <c r="AA283" s="70"/>
      <c r="AB283" s="50"/>
      <c r="AC283" s="92"/>
    </row>
    <row r="284" spans="1:29" ht="57" customHeight="1" x14ac:dyDescent="0.25">
      <c r="A284" s="129"/>
      <c r="B284" s="130"/>
      <c r="C284" s="329"/>
      <c r="D284" s="332"/>
      <c r="E284" s="335"/>
      <c r="F284" s="335"/>
      <c r="G284" s="338"/>
      <c r="H284" s="341"/>
      <c r="I284" s="335"/>
      <c r="J284" s="332"/>
      <c r="K284" s="56"/>
      <c r="L284" s="56"/>
      <c r="M284" s="55"/>
      <c r="N284" s="55"/>
      <c r="O284" s="87"/>
      <c r="P284" s="87"/>
      <c r="Q284" s="87"/>
      <c r="R284" s="87"/>
      <c r="S284" s="87"/>
      <c r="T284" s="87"/>
      <c r="U284" s="87"/>
      <c r="V284" s="87"/>
      <c r="W284" s="87"/>
      <c r="X284" s="68"/>
      <c r="Y284" s="68"/>
      <c r="Z284" s="68"/>
      <c r="AA284" s="68"/>
      <c r="AB284" s="51"/>
      <c r="AC284" s="93"/>
    </row>
    <row r="285" spans="1:29" ht="57" customHeight="1" thickBot="1" x14ac:dyDescent="0.3">
      <c r="A285" s="131"/>
      <c r="B285" s="132"/>
      <c r="C285" s="330"/>
      <c r="D285" s="333"/>
      <c r="E285" s="336"/>
      <c r="F285" s="336"/>
      <c r="G285" s="339"/>
      <c r="H285" s="342"/>
      <c r="I285" s="336"/>
      <c r="J285" s="333"/>
      <c r="K285" s="39"/>
      <c r="L285" s="39"/>
      <c r="M285" s="60"/>
      <c r="N285" s="60"/>
      <c r="O285" s="88"/>
      <c r="P285" s="88"/>
      <c r="Q285" s="88"/>
      <c r="R285" s="88"/>
      <c r="S285" s="88"/>
      <c r="T285" s="88"/>
      <c r="U285" s="88"/>
      <c r="V285" s="88"/>
      <c r="W285" s="88"/>
      <c r="X285" s="69"/>
      <c r="Y285" s="69"/>
      <c r="Z285" s="69"/>
      <c r="AA285" s="69"/>
      <c r="AB285" s="52"/>
      <c r="AC285" s="94"/>
    </row>
    <row r="286" spans="1:29" ht="57" customHeight="1" x14ac:dyDescent="0.25">
      <c r="A286" s="119" t="s">
        <v>571</v>
      </c>
      <c r="B286" s="128" t="s">
        <v>572</v>
      </c>
      <c r="C286" s="328" t="s">
        <v>573</v>
      </c>
      <c r="D286" s="331" t="s">
        <v>549</v>
      </c>
      <c r="E286" s="334"/>
      <c r="F286" s="334"/>
      <c r="G286" s="337" t="s">
        <v>128</v>
      </c>
      <c r="H286" s="340"/>
      <c r="I286" s="334" t="s">
        <v>574</v>
      </c>
      <c r="J286" s="331" t="s">
        <v>575</v>
      </c>
      <c r="K286" s="38"/>
      <c r="L286" s="38"/>
      <c r="M286" s="61"/>
      <c r="N286" s="61"/>
      <c r="O286" s="89"/>
      <c r="P286" s="89"/>
      <c r="Q286" s="89"/>
      <c r="R286" s="89"/>
      <c r="S286" s="89"/>
      <c r="T286" s="89"/>
      <c r="U286" s="89"/>
      <c r="V286" s="89"/>
      <c r="W286" s="89"/>
      <c r="X286" s="70"/>
      <c r="Y286" s="70"/>
      <c r="Z286" s="70"/>
      <c r="AA286" s="70"/>
      <c r="AB286" s="50"/>
      <c r="AC286" s="92"/>
    </row>
    <row r="287" spans="1:29" ht="57" customHeight="1" x14ac:dyDescent="0.25">
      <c r="A287" s="129"/>
      <c r="B287" s="130"/>
      <c r="C287" s="329"/>
      <c r="D287" s="332"/>
      <c r="E287" s="335"/>
      <c r="F287" s="335"/>
      <c r="G287" s="338"/>
      <c r="H287" s="341"/>
      <c r="I287" s="335"/>
      <c r="J287" s="332"/>
      <c r="K287" s="56"/>
      <c r="L287" s="56"/>
      <c r="M287" s="55"/>
      <c r="N287" s="55"/>
      <c r="O287" s="87"/>
      <c r="P287" s="87"/>
      <c r="Q287" s="87"/>
      <c r="R287" s="87"/>
      <c r="S287" s="87"/>
      <c r="T287" s="87"/>
      <c r="U287" s="87"/>
      <c r="V287" s="87"/>
      <c r="W287" s="87"/>
      <c r="X287" s="68"/>
      <c r="Y287" s="68"/>
      <c r="Z287" s="68"/>
      <c r="AA287" s="68"/>
      <c r="AB287" s="51"/>
      <c r="AC287" s="93"/>
    </row>
    <row r="288" spans="1:29" ht="57" customHeight="1" thickBot="1" x14ac:dyDescent="0.3">
      <c r="A288" s="131"/>
      <c r="B288" s="132"/>
      <c r="C288" s="330"/>
      <c r="D288" s="333"/>
      <c r="E288" s="336"/>
      <c r="F288" s="336"/>
      <c r="G288" s="339"/>
      <c r="H288" s="342"/>
      <c r="I288" s="336"/>
      <c r="J288" s="333"/>
      <c r="K288" s="39"/>
      <c r="L288" s="39"/>
      <c r="M288" s="60"/>
      <c r="N288" s="60"/>
      <c r="O288" s="88"/>
      <c r="P288" s="88"/>
      <c r="Q288" s="88"/>
      <c r="R288" s="88"/>
      <c r="S288" s="88"/>
      <c r="T288" s="88"/>
      <c r="U288" s="88"/>
      <c r="V288" s="88"/>
      <c r="W288" s="88"/>
      <c r="X288" s="69"/>
      <c r="Y288" s="69"/>
      <c r="Z288" s="69"/>
      <c r="AA288" s="69"/>
      <c r="AB288" s="52"/>
      <c r="AC288" s="94"/>
    </row>
    <row r="289" spans="1:29" ht="57" customHeight="1" x14ac:dyDescent="0.25">
      <c r="A289" s="119" t="s">
        <v>576</v>
      </c>
      <c r="B289" s="128" t="s">
        <v>577</v>
      </c>
      <c r="C289" s="328" t="s">
        <v>578</v>
      </c>
      <c r="D289" s="331" t="s">
        <v>579</v>
      </c>
      <c r="E289" s="334"/>
      <c r="F289" s="334"/>
      <c r="G289" s="337" t="s">
        <v>128</v>
      </c>
      <c r="H289" s="340"/>
      <c r="I289" s="334"/>
      <c r="J289" s="331" t="s">
        <v>578</v>
      </c>
      <c r="K289" s="38"/>
      <c r="L289" s="38"/>
      <c r="M289" s="61"/>
      <c r="N289" s="61"/>
      <c r="O289" s="89"/>
      <c r="P289" s="89"/>
      <c r="Q289" s="89"/>
      <c r="R289" s="89"/>
      <c r="S289" s="89"/>
      <c r="T289" s="89"/>
      <c r="U289" s="89"/>
      <c r="V289" s="89"/>
      <c r="W289" s="89"/>
      <c r="X289" s="70"/>
      <c r="Y289" s="70"/>
      <c r="Z289" s="70"/>
      <c r="AA289" s="70"/>
      <c r="AB289" s="50"/>
      <c r="AC289" s="92"/>
    </row>
    <row r="290" spans="1:29" ht="57" customHeight="1" x14ac:dyDescent="0.25">
      <c r="A290" s="129"/>
      <c r="B290" s="130"/>
      <c r="C290" s="329"/>
      <c r="D290" s="332"/>
      <c r="E290" s="335"/>
      <c r="F290" s="335"/>
      <c r="G290" s="338"/>
      <c r="H290" s="341"/>
      <c r="I290" s="335"/>
      <c r="J290" s="332"/>
      <c r="K290" s="56"/>
      <c r="L290" s="56"/>
      <c r="M290" s="55"/>
      <c r="N290" s="55"/>
      <c r="O290" s="87"/>
      <c r="P290" s="87"/>
      <c r="Q290" s="87"/>
      <c r="R290" s="87"/>
      <c r="S290" s="87"/>
      <c r="T290" s="87"/>
      <c r="U290" s="87"/>
      <c r="V290" s="87"/>
      <c r="W290" s="87"/>
      <c r="X290" s="68"/>
      <c r="Y290" s="68"/>
      <c r="Z290" s="68"/>
      <c r="AA290" s="68"/>
      <c r="AB290" s="51"/>
      <c r="AC290" s="93"/>
    </row>
    <row r="291" spans="1:29" ht="57" customHeight="1" thickBot="1" x14ac:dyDescent="0.3">
      <c r="A291" s="131"/>
      <c r="B291" s="132"/>
      <c r="C291" s="330"/>
      <c r="D291" s="333"/>
      <c r="E291" s="336"/>
      <c r="F291" s="336"/>
      <c r="G291" s="339"/>
      <c r="H291" s="342"/>
      <c r="I291" s="336"/>
      <c r="J291" s="333"/>
      <c r="K291" s="39"/>
      <c r="L291" s="39"/>
      <c r="M291" s="60"/>
      <c r="N291" s="60"/>
      <c r="O291" s="88"/>
      <c r="P291" s="88"/>
      <c r="Q291" s="88"/>
      <c r="R291" s="88"/>
      <c r="S291" s="88"/>
      <c r="T291" s="88"/>
      <c r="U291" s="88"/>
      <c r="V291" s="88"/>
      <c r="W291" s="88"/>
      <c r="X291" s="69"/>
      <c r="Y291" s="69"/>
      <c r="Z291" s="69"/>
      <c r="AA291" s="69"/>
      <c r="AB291" s="52"/>
      <c r="AC291" s="94"/>
    </row>
    <row r="292" spans="1:29" ht="57" customHeight="1" x14ac:dyDescent="0.25">
      <c r="A292" s="119" t="s">
        <v>580</v>
      </c>
      <c r="B292" s="128" t="s">
        <v>581</v>
      </c>
      <c r="C292" s="328" t="s">
        <v>582</v>
      </c>
      <c r="D292" s="331" t="s">
        <v>583</v>
      </c>
      <c r="E292" s="334" t="s">
        <v>584</v>
      </c>
      <c r="F292" s="334"/>
      <c r="G292" s="337" t="s">
        <v>128</v>
      </c>
      <c r="H292" s="340"/>
      <c r="I292" s="334" t="s">
        <v>585</v>
      </c>
      <c r="J292" s="331" t="s">
        <v>582</v>
      </c>
      <c r="K292" s="38"/>
      <c r="L292" s="38"/>
      <c r="M292" s="61"/>
      <c r="N292" s="61"/>
      <c r="O292" s="89"/>
      <c r="P292" s="89"/>
      <c r="Q292" s="89"/>
      <c r="R292" s="89"/>
      <c r="S292" s="89"/>
      <c r="T292" s="89"/>
      <c r="U292" s="89"/>
      <c r="V292" s="89"/>
      <c r="W292" s="89"/>
      <c r="X292" s="70"/>
      <c r="Y292" s="70"/>
      <c r="Z292" s="70"/>
      <c r="AA292" s="70"/>
      <c r="AB292" s="50"/>
      <c r="AC292" s="92"/>
    </row>
    <row r="293" spans="1:29" ht="57" customHeight="1" x14ac:dyDescent="0.25">
      <c r="A293" s="129"/>
      <c r="B293" s="130"/>
      <c r="C293" s="329"/>
      <c r="D293" s="332"/>
      <c r="E293" s="335"/>
      <c r="F293" s="335"/>
      <c r="G293" s="338"/>
      <c r="H293" s="341"/>
      <c r="I293" s="335"/>
      <c r="J293" s="332"/>
      <c r="K293" s="56"/>
      <c r="L293" s="56"/>
      <c r="M293" s="55"/>
      <c r="N293" s="55"/>
      <c r="O293" s="87"/>
      <c r="P293" s="87"/>
      <c r="Q293" s="87"/>
      <c r="R293" s="87"/>
      <c r="S293" s="87"/>
      <c r="T293" s="87"/>
      <c r="U293" s="87"/>
      <c r="V293" s="87"/>
      <c r="W293" s="87"/>
      <c r="X293" s="68"/>
      <c r="Y293" s="68"/>
      <c r="Z293" s="68"/>
      <c r="AA293" s="68"/>
      <c r="AB293" s="51"/>
      <c r="AC293" s="93"/>
    </row>
    <row r="294" spans="1:29" ht="57" customHeight="1" thickBot="1" x14ac:dyDescent="0.3">
      <c r="A294" s="131"/>
      <c r="B294" s="132"/>
      <c r="C294" s="330"/>
      <c r="D294" s="333"/>
      <c r="E294" s="336"/>
      <c r="F294" s="336"/>
      <c r="G294" s="339"/>
      <c r="H294" s="342"/>
      <c r="I294" s="336"/>
      <c r="J294" s="333"/>
      <c r="K294" s="39"/>
      <c r="L294" s="39"/>
      <c r="M294" s="60"/>
      <c r="N294" s="60"/>
      <c r="O294" s="88"/>
      <c r="P294" s="88"/>
      <c r="Q294" s="88"/>
      <c r="R294" s="88"/>
      <c r="S294" s="88"/>
      <c r="T294" s="88"/>
      <c r="U294" s="88"/>
      <c r="V294" s="88"/>
      <c r="W294" s="88"/>
      <c r="X294" s="69"/>
      <c r="Y294" s="69"/>
      <c r="Z294" s="69"/>
      <c r="AA294" s="69"/>
      <c r="AB294" s="52"/>
      <c r="AC294" s="94"/>
    </row>
    <row r="295" spans="1:29" ht="57" customHeight="1" x14ac:dyDescent="0.25">
      <c r="A295" s="119" t="s">
        <v>586</v>
      </c>
      <c r="B295" s="128" t="s">
        <v>587</v>
      </c>
      <c r="C295" s="328" t="s">
        <v>588</v>
      </c>
      <c r="D295" s="331" t="s">
        <v>589</v>
      </c>
      <c r="E295" s="334"/>
      <c r="F295" s="334"/>
      <c r="G295" s="337" t="s">
        <v>128</v>
      </c>
      <c r="H295" s="340"/>
      <c r="I295" s="334"/>
      <c r="J295" s="331" t="s">
        <v>588</v>
      </c>
      <c r="K295" s="38"/>
      <c r="L295" s="38"/>
      <c r="M295" s="61"/>
      <c r="N295" s="61"/>
      <c r="O295" s="89"/>
      <c r="P295" s="89"/>
      <c r="Q295" s="89"/>
      <c r="R295" s="89"/>
      <c r="S295" s="89"/>
      <c r="T295" s="89"/>
      <c r="U295" s="89"/>
      <c r="V295" s="89"/>
      <c r="W295" s="89"/>
      <c r="X295" s="70"/>
      <c r="Y295" s="70"/>
      <c r="Z295" s="70"/>
      <c r="AA295" s="70"/>
      <c r="AB295" s="50"/>
      <c r="AC295" s="92"/>
    </row>
    <row r="296" spans="1:29" ht="57" customHeight="1" x14ac:dyDescent="0.25">
      <c r="A296" s="129"/>
      <c r="B296" s="130"/>
      <c r="C296" s="329"/>
      <c r="D296" s="332"/>
      <c r="E296" s="335"/>
      <c r="F296" s="335"/>
      <c r="G296" s="338"/>
      <c r="H296" s="341"/>
      <c r="I296" s="335"/>
      <c r="J296" s="332"/>
      <c r="K296" s="56"/>
      <c r="L296" s="56"/>
      <c r="M296" s="55"/>
      <c r="N296" s="55"/>
      <c r="O296" s="87"/>
      <c r="P296" s="87"/>
      <c r="Q296" s="87"/>
      <c r="R296" s="87"/>
      <c r="S296" s="87"/>
      <c r="T296" s="87"/>
      <c r="U296" s="87"/>
      <c r="V296" s="87"/>
      <c r="W296" s="87"/>
      <c r="X296" s="68"/>
      <c r="Y296" s="68"/>
      <c r="Z296" s="68"/>
      <c r="AA296" s="68"/>
      <c r="AB296" s="51"/>
      <c r="AC296" s="93"/>
    </row>
    <row r="297" spans="1:29" ht="57" customHeight="1" thickBot="1" x14ac:dyDescent="0.3">
      <c r="A297" s="131"/>
      <c r="B297" s="132"/>
      <c r="C297" s="330"/>
      <c r="D297" s="333"/>
      <c r="E297" s="336"/>
      <c r="F297" s="336"/>
      <c r="G297" s="339"/>
      <c r="H297" s="342"/>
      <c r="I297" s="336"/>
      <c r="J297" s="333"/>
      <c r="K297" s="39"/>
      <c r="L297" s="39"/>
      <c r="M297" s="60"/>
      <c r="N297" s="60"/>
      <c r="O297" s="88"/>
      <c r="P297" s="88"/>
      <c r="Q297" s="88"/>
      <c r="R297" s="88"/>
      <c r="S297" s="88"/>
      <c r="T297" s="88"/>
      <c r="U297" s="88"/>
      <c r="V297" s="88"/>
      <c r="W297" s="88"/>
      <c r="X297" s="69"/>
      <c r="Y297" s="69"/>
      <c r="Z297" s="69"/>
      <c r="AA297" s="69"/>
      <c r="AB297" s="52"/>
      <c r="AC297" s="94"/>
    </row>
    <row r="298" spans="1:29" ht="57" customHeight="1" x14ac:dyDescent="0.25">
      <c r="A298" s="119" t="s">
        <v>590</v>
      </c>
      <c r="B298" s="128" t="s">
        <v>591</v>
      </c>
      <c r="C298" s="328" t="s">
        <v>592</v>
      </c>
      <c r="D298" s="331" t="s">
        <v>589</v>
      </c>
      <c r="E298" s="334"/>
      <c r="F298" s="334"/>
      <c r="G298" s="337" t="s">
        <v>128</v>
      </c>
      <c r="H298" s="340"/>
      <c r="I298" s="334"/>
      <c r="J298" s="331" t="s">
        <v>592</v>
      </c>
      <c r="K298" s="38"/>
      <c r="L298" s="38"/>
      <c r="M298" s="61"/>
      <c r="N298" s="61"/>
      <c r="O298" s="89"/>
      <c r="P298" s="89"/>
      <c r="Q298" s="89"/>
      <c r="R298" s="89"/>
      <c r="S298" s="89"/>
      <c r="T298" s="89"/>
      <c r="U298" s="89"/>
      <c r="V298" s="89"/>
      <c r="W298" s="89"/>
      <c r="X298" s="70"/>
      <c r="Y298" s="70"/>
      <c r="Z298" s="70"/>
      <c r="AA298" s="70"/>
      <c r="AB298" s="50"/>
      <c r="AC298" s="92"/>
    </row>
    <row r="299" spans="1:29" ht="57" customHeight="1" x14ac:dyDescent="0.25">
      <c r="A299" s="129"/>
      <c r="B299" s="130"/>
      <c r="C299" s="329"/>
      <c r="D299" s="332"/>
      <c r="E299" s="335"/>
      <c r="F299" s="335"/>
      <c r="G299" s="338"/>
      <c r="H299" s="341"/>
      <c r="I299" s="335"/>
      <c r="J299" s="332"/>
      <c r="K299" s="56"/>
      <c r="L299" s="56"/>
      <c r="M299" s="55"/>
      <c r="N299" s="55"/>
      <c r="O299" s="87"/>
      <c r="P299" s="87"/>
      <c r="Q299" s="87"/>
      <c r="R299" s="87"/>
      <c r="S299" s="87"/>
      <c r="T299" s="87"/>
      <c r="U299" s="87"/>
      <c r="V299" s="87"/>
      <c r="W299" s="87"/>
      <c r="X299" s="68"/>
      <c r="Y299" s="68"/>
      <c r="Z299" s="68"/>
      <c r="AA299" s="68"/>
      <c r="AB299" s="51"/>
      <c r="AC299" s="93"/>
    </row>
    <row r="300" spans="1:29" ht="57" customHeight="1" thickBot="1" x14ac:dyDescent="0.3">
      <c r="A300" s="131"/>
      <c r="B300" s="132"/>
      <c r="C300" s="330"/>
      <c r="D300" s="333"/>
      <c r="E300" s="336"/>
      <c r="F300" s="336"/>
      <c r="G300" s="339"/>
      <c r="H300" s="342"/>
      <c r="I300" s="336"/>
      <c r="J300" s="333"/>
      <c r="K300" s="39"/>
      <c r="L300" s="39"/>
      <c r="M300" s="60"/>
      <c r="N300" s="60"/>
      <c r="O300" s="88"/>
      <c r="P300" s="88"/>
      <c r="Q300" s="88"/>
      <c r="R300" s="88"/>
      <c r="S300" s="88"/>
      <c r="T300" s="88"/>
      <c r="U300" s="88"/>
      <c r="V300" s="88"/>
      <c r="W300" s="88"/>
      <c r="X300" s="69"/>
      <c r="Y300" s="69"/>
      <c r="Z300" s="69"/>
      <c r="AA300" s="69"/>
      <c r="AB300" s="52"/>
      <c r="AC300" s="94"/>
    </row>
    <row r="301" spans="1:29" ht="57" customHeight="1" x14ac:dyDescent="0.25">
      <c r="A301" s="119" t="s">
        <v>593</v>
      </c>
      <c r="B301" s="128" t="s">
        <v>594</v>
      </c>
      <c r="C301" s="328" t="s">
        <v>595</v>
      </c>
      <c r="D301" s="331" t="s">
        <v>589</v>
      </c>
      <c r="E301" s="334"/>
      <c r="F301" s="334"/>
      <c r="G301" s="337" t="s">
        <v>128</v>
      </c>
      <c r="H301" s="340"/>
      <c r="I301" s="334"/>
      <c r="J301" s="331" t="s">
        <v>595</v>
      </c>
      <c r="K301" s="38"/>
      <c r="L301" s="38"/>
      <c r="M301" s="61"/>
      <c r="N301" s="61"/>
      <c r="O301" s="89"/>
      <c r="P301" s="89"/>
      <c r="Q301" s="89"/>
      <c r="R301" s="89"/>
      <c r="S301" s="89"/>
      <c r="T301" s="89"/>
      <c r="U301" s="89"/>
      <c r="V301" s="89"/>
      <c r="W301" s="89"/>
      <c r="X301" s="70"/>
      <c r="Y301" s="70"/>
      <c r="Z301" s="70"/>
      <c r="AA301" s="70"/>
      <c r="AB301" s="50"/>
      <c r="AC301" s="92"/>
    </row>
    <row r="302" spans="1:29" ht="57" customHeight="1" x14ac:dyDescent="0.25">
      <c r="A302" s="129"/>
      <c r="B302" s="130"/>
      <c r="C302" s="329"/>
      <c r="D302" s="332"/>
      <c r="E302" s="335"/>
      <c r="F302" s="335"/>
      <c r="G302" s="338"/>
      <c r="H302" s="341"/>
      <c r="I302" s="335"/>
      <c r="J302" s="332"/>
      <c r="K302" s="56"/>
      <c r="L302" s="56"/>
      <c r="M302" s="55"/>
      <c r="N302" s="55"/>
      <c r="O302" s="87"/>
      <c r="P302" s="87"/>
      <c r="Q302" s="87"/>
      <c r="R302" s="87"/>
      <c r="S302" s="87"/>
      <c r="T302" s="87"/>
      <c r="U302" s="87"/>
      <c r="V302" s="87"/>
      <c r="W302" s="87"/>
      <c r="X302" s="68"/>
      <c r="Y302" s="68"/>
      <c r="Z302" s="68"/>
      <c r="AA302" s="68"/>
      <c r="AB302" s="51"/>
      <c r="AC302" s="93"/>
    </row>
    <row r="303" spans="1:29" ht="57" customHeight="1" thickBot="1" x14ac:dyDescent="0.3">
      <c r="A303" s="131"/>
      <c r="B303" s="132"/>
      <c r="C303" s="330"/>
      <c r="D303" s="333"/>
      <c r="E303" s="336"/>
      <c r="F303" s="336"/>
      <c r="G303" s="339"/>
      <c r="H303" s="342"/>
      <c r="I303" s="336"/>
      <c r="J303" s="333"/>
      <c r="K303" s="39"/>
      <c r="L303" s="39"/>
      <c r="M303" s="60"/>
      <c r="N303" s="60"/>
      <c r="O303" s="88"/>
      <c r="P303" s="88"/>
      <c r="Q303" s="88"/>
      <c r="R303" s="88"/>
      <c r="S303" s="88"/>
      <c r="T303" s="88"/>
      <c r="U303" s="88"/>
      <c r="V303" s="88"/>
      <c r="W303" s="88"/>
      <c r="X303" s="69"/>
      <c r="Y303" s="69"/>
      <c r="Z303" s="69"/>
      <c r="AA303" s="69"/>
      <c r="AB303" s="52"/>
      <c r="AC303" s="94"/>
    </row>
    <row r="304" spans="1:29" ht="57" customHeight="1" x14ac:dyDescent="0.25">
      <c r="A304" s="119" t="s">
        <v>596</v>
      </c>
      <c r="B304" s="128" t="s">
        <v>597</v>
      </c>
      <c r="C304" s="328" t="s">
        <v>598</v>
      </c>
      <c r="D304" s="331" t="s">
        <v>589</v>
      </c>
      <c r="E304" s="334"/>
      <c r="F304" s="334"/>
      <c r="G304" s="337" t="s">
        <v>128</v>
      </c>
      <c r="H304" s="340"/>
      <c r="I304" s="334"/>
      <c r="J304" s="331" t="s">
        <v>598</v>
      </c>
      <c r="K304" s="38"/>
      <c r="L304" s="38"/>
      <c r="M304" s="61"/>
      <c r="N304" s="61"/>
      <c r="O304" s="89"/>
      <c r="P304" s="89"/>
      <c r="Q304" s="89"/>
      <c r="R304" s="89"/>
      <c r="S304" s="89"/>
      <c r="T304" s="89"/>
      <c r="U304" s="89"/>
      <c r="V304" s="89"/>
      <c r="W304" s="89"/>
      <c r="X304" s="70"/>
      <c r="Y304" s="70"/>
      <c r="Z304" s="70"/>
      <c r="AA304" s="70"/>
      <c r="AB304" s="50"/>
      <c r="AC304" s="92"/>
    </row>
    <row r="305" spans="1:29" ht="57" customHeight="1" x14ac:dyDescent="0.25">
      <c r="A305" s="129"/>
      <c r="B305" s="130"/>
      <c r="C305" s="329"/>
      <c r="D305" s="332"/>
      <c r="E305" s="335"/>
      <c r="F305" s="335"/>
      <c r="G305" s="338"/>
      <c r="H305" s="341"/>
      <c r="I305" s="335"/>
      <c r="J305" s="332"/>
      <c r="K305" s="56"/>
      <c r="L305" s="56"/>
      <c r="M305" s="55"/>
      <c r="N305" s="55"/>
      <c r="O305" s="87"/>
      <c r="P305" s="87"/>
      <c r="Q305" s="87"/>
      <c r="R305" s="87"/>
      <c r="S305" s="87"/>
      <c r="T305" s="87"/>
      <c r="U305" s="87"/>
      <c r="V305" s="87"/>
      <c r="W305" s="87"/>
      <c r="X305" s="68"/>
      <c r="Y305" s="68"/>
      <c r="Z305" s="68"/>
      <c r="AA305" s="68"/>
      <c r="AB305" s="51"/>
      <c r="AC305" s="93"/>
    </row>
    <row r="306" spans="1:29" ht="57" customHeight="1" thickBot="1" x14ac:dyDescent="0.3">
      <c r="A306" s="131"/>
      <c r="B306" s="132"/>
      <c r="C306" s="330"/>
      <c r="D306" s="333"/>
      <c r="E306" s="336"/>
      <c r="F306" s="336"/>
      <c r="G306" s="339"/>
      <c r="H306" s="342"/>
      <c r="I306" s="336"/>
      <c r="J306" s="333"/>
      <c r="K306" s="39"/>
      <c r="L306" s="39"/>
      <c r="M306" s="60"/>
      <c r="N306" s="60"/>
      <c r="O306" s="88"/>
      <c r="P306" s="88"/>
      <c r="Q306" s="88"/>
      <c r="R306" s="88"/>
      <c r="S306" s="88"/>
      <c r="T306" s="88"/>
      <c r="U306" s="88"/>
      <c r="V306" s="88"/>
      <c r="W306" s="88"/>
      <c r="X306" s="69"/>
      <c r="Y306" s="69"/>
      <c r="Z306" s="69"/>
      <c r="AA306" s="69"/>
      <c r="AB306" s="52"/>
      <c r="AC306" s="94"/>
    </row>
    <row r="307" spans="1:29" ht="57" customHeight="1" x14ac:dyDescent="0.25">
      <c r="A307" s="119" t="s">
        <v>599</v>
      </c>
      <c r="B307" s="128" t="s">
        <v>600</v>
      </c>
      <c r="C307" s="328" t="s">
        <v>601</v>
      </c>
      <c r="D307" s="331" t="s">
        <v>589</v>
      </c>
      <c r="E307" s="334"/>
      <c r="F307" s="334"/>
      <c r="G307" s="337" t="s">
        <v>128</v>
      </c>
      <c r="H307" s="340"/>
      <c r="I307" s="334"/>
      <c r="J307" s="331" t="s">
        <v>601</v>
      </c>
      <c r="K307" s="38"/>
      <c r="L307" s="38"/>
      <c r="M307" s="61"/>
      <c r="N307" s="61"/>
      <c r="O307" s="89"/>
      <c r="P307" s="89"/>
      <c r="Q307" s="89"/>
      <c r="R307" s="89"/>
      <c r="S307" s="89"/>
      <c r="T307" s="89"/>
      <c r="U307" s="89"/>
      <c r="V307" s="89"/>
      <c r="W307" s="89"/>
      <c r="X307" s="70"/>
      <c r="Y307" s="70"/>
      <c r="Z307" s="70"/>
      <c r="AA307" s="70"/>
      <c r="AB307" s="50"/>
      <c r="AC307" s="92"/>
    </row>
    <row r="308" spans="1:29" ht="57" customHeight="1" x14ac:dyDescent="0.25">
      <c r="A308" s="129"/>
      <c r="B308" s="130"/>
      <c r="C308" s="329"/>
      <c r="D308" s="332"/>
      <c r="E308" s="335"/>
      <c r="F308" s="335"/>
      <c r="G308" s="338"/>
      <c r="H308" s="341"/>
      <c r="I308" s="335"/>
      <c r="J308" s="332"/>
      <c r="K308" s="56"/>
      <c r="L308" s="56"/>
      <c r="M308" s="55"/>
      <c r="N308" s="55"/>
      <c r="O308" s="87"/>
      <c r="P308" s="87"/>
      <c r="Q308" s="87"/>
      <c r="R308" s="87"/>
      <c r="S308" s="87"/>
      <c r="T308" s="87"/>
      <c r="U308" s="87"/>
      <c r="V308" s="87"/>
      <c r="W308" s="87"/>
      <c r="X308" s="68"/>
      <c r="Y308" s="68"/>
      <c r="Z308" s="68"/>
      <c r="AA308" s="68"/>
      <c r="AB308" s="51"/>
      <c r="AC308" s="93"/>
    </row>
    <row r="309" spans="1:29" ht="57" customHeight="1" thickBot="1" x14ac:dyDescent="0.3">
      <c r="A309" s="131"/>
      <c r="B309" s="132"/>
      <c r="C309" s="330"/>
      <c r="D309" s="333"/>
      <c r="E309" s="336"/>
      <c r="F309" s="336"/>
      <c r="G309" s="339"/>
      <c r="H309" s="342"/>
      <c r="I309" s="336"/>
      <c r="J309" s="333"/>
      <c r="K309" s="39"/>
      <c r="L309" s="39"/>
      <c r="M309" s="60"/>
      <c r="N309" s="60"/>
      <c r="O309" s="88"/>
      <c r="P309" s="88"/>
      <c r="Q309" s="88"/>
      <c r="R309" s="88"/>
      <c r="S309" s="88"/>
      <c r="T309" s="88"/>
      <c r="U309" s="88"/>
      <c r="V309" s="88"/>
      <c r="W309" s="88"/>
      <c r="X309" s="69"/>
      <c r="Y309" s="69"/>
      <c r="Z309" s="69"/>
      <c r="AA309" s="69"/>
      <c r="AB309" s="52"/>
      <c r="AC309" s="94"/>
    </row>
    <row r="310" spans="1:29" ht="57" customHeight="1" x14ac:dyDescent="0.25">
      <c r="A310" s="119" t="s">
        <v>602</v>
      </c>
      <c r="B310" s="128" t="s">
        <v>603</v>
      </c>
      <c r="C310" s="328" t="s">
        <v>604</v>
      </c>
      <c r="D310" s="331" t="s">
        <v>589</v>
      </c>
      <c r="E310" s="334"/>
      <c r="F310" s="334"/>
      <c r="G310" s="337" t="s">
        <v>128</v>
      </c>
      <c r="H310" s="340"/>
      <c r="I310" s="334"/>
      <c r="J310" s="331" t="s">
        <v>601</v>
      </c>
      <c r="K310" s="38"/>
      <c r="L310" s="38"/>
      <c r="M310" s="61"/>
      <c r="N310" s="61"/>
      <c r="O310" s="89"/>
      <c r="P310" s="89"/>
      <c r="Q310" s="89"/>
      <c r="R310" s="89"/>
      <c r="S310" s="89"/>
      <c r="T310" s="89"/>
      <c r="U310" s="89"/>
      <c r="V310" s="89"/>
      <c r="W310" s="89"/>
      <c r="X310" s="70"/>
      <c r="Y310" s="70"/>
      <c r="Z310" s="70"/>
      <c r="AA310" s="70"/>
      <c r="AB310" s="50"/>
      <c r="AC310" s="92"/>
    </row>
    <row r="311" spans="1:29" ht="57" customHeight="1" x14ac:dyDescent="0.25">
      <c r="A311" s="129"/>
      <c r="B311" s="130"/>
      <c r="C311" s="329"/>
      <c r="D311" s="332"/>
      <c r="E311" s="335"/>
      <c r="F311" s="335"/>
      <c r="G311" s="338"/>
      <c r="H311" s="341"/>
      <c r="I311" s="335"/>
      <c r="J311" s="332"/>
      <c r="K311" s="56"/>
      <c r="L311" s="56"/>
      <c r="M311" s="55"/>
      <c r="N311" s="55"/>
      <c r="O311" s="87"/>
      <c r="P311" s="87"/>
      <c r="Q311" s="87"/>
      <c r="R311" s="87"/>
      <c r="S311" s="87"/>
      <c r="T311" s="87"/>
      <c r="U311" s="87"/>
      <c r="V311" s="87"/>
      <c r="W311" s="87"/>
      <c r="X311" s="68"/>
      <c r="Y311" s="68"/>
      <c r="Z311" s="68"/>
      <c r="AA311" s="68"/>
      <c r="AB311" s="51"/>
      <c r="AC311" s="93"/>
    </row>
    <row r="312" spans="1:29" ht="57" customHeight="1" thickBot="1" x14ac:dyDescent="0.3">
      <c r="A312" s="131"/>
      <c r="B312" s="132"/>
      <c r="C312" s="330"/>
      <c r="D312" s="333"/>
      <c r="E312" s="336"/>
      <c r="F312" s="336"/>
      <c r="G312" s="339"/>
      <c r="H312" s="342"/>
      <c r="I312" s="336"/>
      <c r="J312" s="333"/>
      <c r="K312" s="39"/>
      <c r="L312" s="39"/>
      <c r="M312" s="60"/>
      <c r="N312" s="60"/>
      <c r="O312" s="88"/>
      <c r="P312" s="88"/>
      <c r="Q312" s="88"/>
      <c r="R312" s="88"/>
      <c r="S312" s="88"/>
      <c r="T312" s="88"/>
      <c r="U312" s="88"/>
      <c r="V312" s="88"/>
      <c r="W312" s="88"/>
      <c r="X312" s="69"/>
      <c r="Y312" s="69"/>
      <c r="Z312" s="69"/>
      <c r="AA312" s="69"/>
      <c r="AB312" s="52"/>
      <c r="AC312" s="94"/>
    </row>
    <row r="313" spans="1:29" ht="57" customHeight="1" thickBot="1" x14ac:dyDescent="0.3">
      <c r="A313" s="127"/>
      <c r="B313" s="138" t="s">
        <v>605</v>
      </c>
      <c r="C313" s="343" t="s">
        <v>606</v>
      </c>
      <c r="D313" s="344"/>
      <c r="E313" s="138"/>
      <c r="F313" s="138"/>
      <c r="G313" s="138"/>
      <c r="H313" s="138"/>
      <c r="I313" s="138"/>
      <c r="J313" s="138"/>
      <c r="K313" s="135"/>
      <c r="L313" s="135"/>
      <c r="M313" s="135"/>
      <c r="N313" s="135"/>
      <c r="O313" s="141"/>
      <c r="P313" s="141"/>
      <c r="Q313" s="141"/>
      <c r="R313" s="141"/>
      <c r="S313" s="141"/>
      <c r="T313" s="141"/>
      <c r="U313" s="141"/>
      <c r="V313" s="141"/>
      <c r="W313" s="141"/>
      <c r="X313" s="142"/>
      <c r="Y313" s="142"/>
      <c r="Z313" s="142"/>
      <c r="AA313" s="142"/>
      <c r="AB313" s="135"/>
      <c r="AC313" s="54"/>
    </row>
    <row r="314" spans="1:29" ht="57" customHeight="1" x14ac:dyDescent="0.25">
      <c r="A314" s="119" t="s">
        <v>607</v>
      </c>
      <c r="B314" s="128" t="s">
        <v>608</v>
      </c>
      <c r="C314" s="328" t="s">
        <v>609</v>
      </c>
      <c r="D314" s="331" t="s">
        <v>583</v>
      </c>
      <c r="E314" s="334"/>
      <c r="F314" s="334"/>
      <c r="G314" s="337" t="s">
        <v>128</v>
      </c>
      <c r="H314" s="340"/>
      <c r="I314" s="334" t="s">
        <v>610</v>
      </c>
      <c r="J314" s="331" t="s">
        <v>609</v>
      </c>
      <c r="K314" s="38"/>
      <c r="L314" s="38"/>
      <c r="M314" s="61"/>
      <c r="N314" s="61"/>
      <c r="O314" s="89"/>
      <c r="P314" s="89"/>
      <c r="Q314" s="89"/>
      <c r="R314" s="89"/>
      <c r="S314" s="89"/>
      <c r="T314" s="89"/>
      <c r="U314" s="89"/>
      <c r="V314" s="89"/>
      <c r="W314" s="89"/>
      <c r="X314" s="70"/>
      <c r="Y314" s="70"/>
      <c r="Z314" s="70"/>
      <c r="AA314" s="70"/>
      <c r="AB314" s="50"/>
      <c r="AC314" s="92"/>
    </row>
    <row r="315" spans="1:29" ht="57" customHeight="1" x14ac:dyDescent="0.25">
      <c r="A315" s="129"/>
      <c r="B315" s="130"/>
      <c r="C315" s="329"/>
      <c r="D315" s="332"/>
      <c r="E315" s="335"/>
      <c r="F315" s="335"/>
      <c r="G315" s="338"/>
      <c r="H315" s="341"/>
      <c r="I315" s="335"/>
      <c r="J315" s="332"/>
      <c r="K315" s="56"/>
      <c r="L315" s="56"/>
      <c r="M315" s="55"/>
      <c r="N315" s="55"/>
      <c r="O315" s="87"/>
      <c r="P315" s="87"/>
      <c r="Q315" s="87"/>
      <c r="R315" s="87"/>
      <c r="S315" s="87"/>
      <c r="T315" s="87"/>
      <c r="U315" s="87"/>
      <c r="V315" s="87"/>
      <c r="W315" s="87"/>
      <c r="X315" s="68"/>
      <c r="Y315" s="68"/>
      <c r="Z315" s="68"/>
      <c r="AA315" s="68"/>
      <c r="AB315" s="51"/>
      <c r="AC315" s="93"/>
    </row>
    <row r="316" spans="1:29" ht="57" customHeight="1" thickBot="1" x14ac:dyDescent="0.3">
      <c r="A316" s="131"/>
      <c r="B316" s="132"/>
      <c r="C316" s="330"/>
      <c r="D316" s="333"/>
      <c r="E316" s="336"/>
      <c r="F316" s="336"/>
      <c r="G316" s="339"/>
      <c r="H316" s="342"/>
      <c r="I316" s="336"/>
      <c r="J316" s="333"/>
      <c r="K316" s="39"/>
      <c r="L316" s="39"/>
      <c r="M316" s="60"/>
      <c r="N316" s="60"/>
      <c r="O316" s="88"/>
      <c r="P316" s="88"/>
      <c r="Q316" s="88"/>
      <c r="R316" s="88"/>
      <c r="S316" s="88"/>
      <c r="T316" s="88"/>
      <c r="U316" s="88"/>
      <c r="V316" s="88"/>
      <c r="W316" s="88"/>
      <c r="X316" s="69"/>
      <c r="Y316" s="69"/>
      <c r="Z316" s="69"/>
      <c r="AA316" s="69"/>
      <c r="AB316" s="52"/>
      <c r="AC316" s="94"/>
    </row>
    <row r="317" spans="1:29" ht="57" customHeight="1" x14ac:dyDescent="0.25">
      <c r="A317" s="119" t="s">
        <v>611</v>
      </c>
      <c r="B317" s="128" t="s">
        <v>612</v>
      </c>
      <c r="C317" s="328" t="s">
        <v>582</v>
      </c>
      <c r="D317" s="331" t="s">
        <v>589</v>
      </c>
      <c r="E317" s="334"/>
      <c r="F317" s="334"/>
      <c r="G317" s="337" t="s">
        <v>128</v>
      </c>
      <c r="H317" s="340"/>
      <c r="I317" s="334" t="s">
        <v>613</v>
      </c>
      <c r="J317" s="331" t="s">
        <v>582</v>
      </c>
      <c r="K317" s="38"/>
      <c r="L317" s="38"/>
      <c r="M317" s="61"/>
      <c r="N317" s="61"/>
      <c r="O317" s="89"/>
      <c r="P317" s="89"/>
      <c r="Q317" s="89"/>
      <c r="R317" s="89"/>
      <c r="S317" s="89"/>
      <c r="T317" s="89"/>
      <c r="U317" s="89"/>
      <c r="V317" s="89"/>
      <c r="W317" s="89"/>
      <c r="X317" s="70"/>
      <c r="Y317" s="70"/>
      <c r="Z317" s="70"/>
      <c r="AA317" s="70"/>
      <c r="AB317" s="50"/>
      <c r="AC317" s="92"/>
    </row>
    <row r="318" spans="1:29" ht="57" customHeight="1" x14ac:dyDescent="0.25">
      <c r="A318" s="129"/>
      <c r="B318" s="130"/>
      <c r="C318" s="329"/>
      <c r="D318" s="332"/>
      <c r="E318" s="335"/>
      <c r="F318" s="335"/>
      <c r="G318" s="338"/>
      <c r="H318" s="341"/>
      <c r="I318" s="335"/>
      <c r="J318" s="332"/>
      <c r="K318" s="56"/>
      <c r="L318" s="56"/>
      <c r="M318" s="55"/>
      <c r="N318" s="55"/>
      <c r="O318" s="87"/>
      <c r="P318" s="87"/>
      <c r="Q318" s="87"/>
      <c r="R318" s="87"/>
      <c r="S318" s="87"/>
      <c r="T318" s="87"/>
      <c r="U318" s="87"/>
      <c r="V318" s="87"/>
      <c r="W318" s="87"/>
      <c r="X318" s="68"/>
      <c r="Y318" s="68"/>
      <c r="Z318" s="68"/>
      <c r="AA318" s="68"/>
      <c r="AB318" s="51"/>
      <c r="AC318" s="93"/>
    </row>
    <row r="319" spans="1:29" ht="57" customHeight="1" thickBot="1" x14ac:dyDescent="0.3">
      <c r="A319" s="131"/>
      <c r="B319" s="132"/>
      <c r="C319" s="330"/>
      <c r="D319" s="333"/>
      <c r="E319" s="336"/>
      <c r="F319" s="336"/>
      <c r="G319" s="339"/>
      <c r="H319" s="342"/>
      <c r="I319" s="336"/>
      <c r="J319" s="333"/>
      <c r="K319" s="39"/>
      <c r="L319" s="39"/>
      <c r="M319" s="60"/>
      <c r="N319" s="60"/>
      <c r="O319" s="88"/>
      <c r="P319" s="88"/>
      <c r="Q319" s="88"/>
      <c r="R319" s="88"/>
      <c r="S319" s="88"/>
      <c r="T319" s="88"/>
      <c r="U319" s="88"/>
      <c r="V319" s="88"/>
      <c r="W319" s="88"/>
      <c r="X319" s="69"/>
      <c r="Y319" s="69"/>
      <c r="Z319" s="69"/>
      <c r="AA319" s="69"/>
      <c r="AB319" s="52"/>
      <c r="AC319" s="94"/>
    </row>
    <row r="320" spans="1:29" ht="57" customHeight="1" thickBot="1" x14ac:dyDescent="0.3">
      <c r="A320" s="127"/>
      <c r="B320" s="138" t="s">
        <v>614</v>
      </c>
      <c r="C320" s="343" t="s">
        <v>615</v>
      </c>
      <c r="D320" s="344"/>
      <c r="E320" s="138"/>
      <c r="F320" s="138"/>
      <c r="G320" s="138"/>
      <c r="H320" s="138"/>
      <c r="I320" s="138"/>
      <c r="J320" s="138"/>
      <c r="K320" s="135"/>
      <c r="L320" s="135"/>
      <c r="M320" s="135"/>
      <c r="N320" s="135"/>
      <c r="O320" s="141"/>
      <c r="P320" s="141"/>
      <c r="Q320" s="141"/>
      <c r="R320" s="141"/>
      <c r="S320" s="141"/>
      <c r="T320" s="141"/>
      <c r="U320" s="141"/>
      <c r="V320" s="141"/>
      <c r="W320" s="141"/>
      <c r="X320" s="142"/>
      <c r="Y320" s="142"/>
      <c r="Z320" s="142"/>
      <c r="AA320" s="142"/>
      <c r="AB320" s="135"/>
      <c r="AC320" s="54"/>
    </row>
    <row r="321" spans="1:29" ht="57" customHeight="1" x14ac:dyDescent="0.25">
      <c r="A321" s="119" t="s">
        <v>616</v>
      </c>
      <c r="B321" s="128" t="s">
        <v>617</v>
      </c>
      <c r="C321" s="328" t="s">
        <v>618</v>
      </c>
      <c r="D321" s="331" t="s">
        <v>583</v>
      </c>
      <c r="E321" s="334"/>
      <c r="F321" s="334"/>
      <c r="G321" s="337" t="s">
        <v>128</v>
      </c>
      <c r="H321" s="340"/>
      <c r="I321" s="334" t="s">
        <v>613</v>
      </c>
      <c r="J321" s="331" t="s">
        <v>618</v>
      </c>
      <c r="K321" s="38"/>
      <c r="L321" s="38"/>
      <c r="M321" s="61"/>
      <c r="N321" s="61"/>
      <c r="O321" s="89"/>
      <c r="P321" s="89"/>
      <c r="Q321" s="89"/>
      <c r="R321" s="89"/>
      <c r="S321" s="89"/>
      <c r="T321" s="89"/>
      <c r="U321" s="89"/>
      <c r="V321" s="89"/>
      <c r="W321" s="89"/>
      <c r="X321" s="70"/>
      <c r="Y321" s="70"/>
      <c r="Z321" s="70"/>
      <c r="AA321" s="70"/>
      <c r="AB321" s="50"/>
      <c r="AC321" s="92"/>
    </row>
    <row r="322" spans="1:29" ht="57" customHeight="1" x14ac:dyDescent="0.25">
      <c r="A322" s="129"/>
      <c r="B322" s="130"/>
      <c r="C322" s="329"/>
      <c r="D322" s="332"/>
      <c r="E322" s="335"/>
      <c r="F322" s="335"/>
      <c r="G322" s="338"/>
      <c r="H322" s="341"/>
      <c r="I322" s="335"/>
      <c r="J322" s="332"/>
      <c r="K322" s="56"/>
      <c r="L322" s="56"/>
      <c r="M322" s="55"/>
      <c r="N322" s="55"/>
      <c r="O322" s="87"/>
      <c r="P322" s="87"/>
      <c r="Q322" s="87"/>
      <c r="R322" s="87"/>
      <c r="S322" s="87"/>
      <c r="T322" s="87"/>
      <c r="U322" s="87"/>
      <c r="V322" s="87"/>
      <c r="W322" s="87"/>
      <c r="X322" s="68"/>
      <c r="Y322" s="68"/>
      <c r="Z322" s="68"/>
      <c r="AA322" s="68"/>
      <c r="AB322" s="51"/>
      <c r="AC322" s="93"/>
    </row>
    <row r="323" spans="1:29" ht="57" customHeight="1" thickBot="1" x14ac:dyDescent="0.3">
      <c r="A323" s="131"/>
      <c r="B323" s="132"/>
      <c r="C323" s="330"/>
      <c r="D323" s="333"/>
      <c r="E323" s="336"/>
      <c r="F323" s="336"/>
      <c r="G323" s="339"/>
      <c r="H323" s="342"/>
      <c r="I323" s="336"/>
      <c r="J323" s="333"/>
      <c r="K323" s="39"/>
      <c r="L323" s="39"/>
      <c r="M323" s="60"/>
      <c r="N323" s="60"/>
      <c r="O323" s="88"/>
      <c r="P323" s="88"/>
      <c r="Q323" s="88"/>
      <c r="R323" s="88"/>
      <c r="S323" s="88"/>
      <c r="T323" s="88"/>
      <c r="U323" s="88"/>
      <c r="V323" s="88"/>
      <c r="W323" s="88"/>
      <c r="X323" s="69"/>
      <c r="Y323" s="69"/>
      <c r="Z323" s="69"/>
      <c r="AA323" s="69"/>
      <c r="AB323" s="52"/>
      <c r="AC323" s="94"/>
    </row>
    <row r="324" spans="1:29" ht="57" customHeight="1" thickBot="1" x14ac:dyDescent="0.3">
      <c r="A324" s="125">
        <v>8</v>
      </c>
      <c r="B324" s="126" t="s">
        <v>619</v>
      </c>
      <c r="C324" s="343" t="s">
        <v>620</v>
      </c>
      <c r="D324" s="344"/>
      <c r="E324" s="138"/>
      <c r="F324" s="138"/>
      <c r="G324" s="138"/>
      <c r="H324" s="138"/>
      <c r="I324" s="138"/>
      <c r="J324" s="138"/>
      <c r="K324" s="135"/>
      <c r="L324" s="135"/>
      <c r="M324" s="135"/>
      <c r="N324" s="135"/>
      <c r="O324" s="141"/>
      <c r="P324" s="141"/>
      <c r="Q324" s="141"/>
      <c r="R324" s="141"/>
      <c r="S324" s="141"/>
      <c r="T324" s="141"/>
      <c r="U324" s="141"/>
      <c r="V324" s="141"/>
      <c r="W324" s="141"/>
      <c r="X324" s="142"/>
      <c r="Y324" s="142"/>
      <c r="Z324" s="142"/>
      <c r="AA324" s="142"/>
      <c r="AB324" s="135"/>
      <c r="AC324" s="54"/>
    </row>
    <row r="325" spans="1:29" ht="57" customHeight="1" thickBot="1" x14ac:dyDescent="0.3">
      <c r="A325" s="127"/>
      <c r="B325" s="138" t="s">
        <v>621</v>
      </c>
      <c r="C325" s="343" t="s">
        <v>622</v>
      </c>
      <c r="D325" s="344"/>
      <c r="E325" s="138"/>
      <c r="F325" s="138"/>
      <c r="G325" s="138"/>
      <c r="H325" s="138"/>
      <c r="I325" s="138"/>
      <c r="J325" s="138"/>
      <c r="K325" s="135"/>
      <c r="L325" s="135"/>
      <c r="M325" s="135"/>
      <c r="N325" s="135"/>
      <c r="O325" s="141"/>
      <c r="P325" s="141"/>
      <c r="Q325" s="141"/>
      <c r="R325" s="141"/>
      <c r="S325" s="141"/>
      <c r="T325" s="141"/>
      <c r="U325" s="141"/>
      <c r="V325" s="141"/>
      <c r="W325" s="141"/>
      <c r="X325" s="142"/>
      <c r="Y325" s="142"/>
      <c r="Z325" s="142"/>
      <c r="AA325" s="142"/>
      <c r="AB325" s="135"/>
      <c r="AC325" s="54"/>
    </row>
    <row r="326" spans="1:29" ht="57" customHeight="1" x14ac:dyDescent="0.25">
      <c r="A326" s="119" t="s">
        <v>623</v>
      </c>
      <c r="B326" s="128" t="s">
        <v>624</v>
      </c>
      <c r="C326" s="328" t="s">
        <v>625</v>
      </c>
      <c r="D326" s="331" t="s">
        <v>626</v>
      </c>
      <c r="E326" s="334" t="s">
        <v>627</v>
      </c>
      <c r="F326" s="334"/>
      <c r="G326" s="337" t="s">
        <v>128</v>
      </c>
      <c r="H326" s="340"/>
      <c r="I326" s="334" t="s">
        <v>628</v>
      </c>
      <c r="J326" s="331" t="s">
        <v>625</v>
      </c>
      <c r="K326" s="38"/>
      <c r="L326" s="38"/>
      <c r="M326" s="61"/>
      <c r="N326" s="61"/>
      <c r="O326" s="89"/>
      <c r="P326" s="89"/>
      <c r="Q326" s="89"/>
      <c r="R326" s="89"/>
      <c r="S326" s="89"/>
      <c r="T326" s="89"/>
      <c r="U326" s="89"/>
      <c r="V326" s="89"/>
      <c r="W326" s="89"/>
      <c r="X326" s="70"/>
      <c r="Y326" s="70"/>
      <c r="Z326" s="70"/>
      <c r="AA326" s="70"/>
      <c r="AB326" s="50"/>
      <c r="AC326" s="92"/>
    </row>
    <row r="327" spans="1:29" ht="57" customHeight="1" x14ac:dyDescent="0.25">
      <c r="A327" s="129"/>
      <c r="B327" s="130"/>
      <c r="C327" s="329"/>
      <c r="D327" s="332"/>
      <c r="E327" s="335"/>
      <c r="F327" s="335"/>
      <c r="G327" s="338"/>
      <c r="H327" s="341"/>
      <c r="I327" s="335"/>
      <c r="J327" s="332"/>
      <c r="K327" s="56"/>
      <c r="L327" s="56"/>
      <c r="M327" s="55"/>
      <c r="N327" s="55"/>
      <c r="O327" s="87"/>
      <c r="P327" s="87"/>
      <c r="Q327" s="87"/>
      <c r="R327" s="87"/>
      <c r="S327" s="87"/>
      <c r="T327" s="87"/>
      <c r="U327" s="87"/>
      <c r="V327" s="87"/>
      <c r="W327" s="87"/>
      <c r="X327" s="68"/>
      <c r="Y327" s="68"/>
      <c r="Z327" s="68"/>
      <c r="AA327" s="68"/>
      <c r="AB327" s="51"/>
      <c r="AC327" s="93"/>
    </row>
    <row r="328" spans="1:29" ht="57" customHeight="1" thickBot="1" x14ac:dyDescent="0.3">
      <c r="A328" s="131"/>
      <c r="B328" s="132"/>
      <c r="C328" s="330"/>
      <c r="D328" s="333"/>
      <c r="E328" s="336"/>
      <c r="F328" s="336"/>
      <c r="G328" s="339"/>
      <c r="H328" s="342"/>
      <c r="I328" s="336"/>
      <c r="J328" s="333"/>
      <c r="K328" s="39"/>
      <c r="L328" s="39"/>
      <c r="M328" s="60"/>
      <c r="N328" s="60"/>
      <c r="O328" s="88"/>
      <c r="P328" s="88"/>
      <c r="Q328" s="88"/>
      <c r="R328" s="88"/>
      <c r="S328" s="88"/>
      <c r="T328" s="88"/>
      <c r="U328" s="88"/>
      <c r="V328" s="88"/>
      <c r="W328" s="88"/>
      <c r="X328" s="69"/>
      <c r="Y328" s="69"/>
      <c r="Z328" s="69"/>
      <c r="AA328" s="69"/>
      <c r="AB328" s="52"/>
      <c r="AC328" s="94"/>
    </row>
    <row r="329" spans="1:29" ht="57" customHeight="1" x14ac:dyDescent="0.25">
      <c r="A329" s="119" t="s">
        <v>629</v>
      </c>
      <c r="B329" s="128" t="s">
        <v>630</v>
      </c>
      <c r="C329" s="328" t="s">
        <v>631</v>
      </c>
      <c r="D329" s="331" t="s">
        <v>632</v>
      </c>
      <c r="E329" s="334" t="s">
        <v>633</v>
      </c>
      <c r="F329" s="334"/>
      <c r="G329" s="337" t="s">
        <v>128</v>
      </c>
      <c r="H329" s="340"/>
      <c r="I329" s="334" t="s">
        <v>634</v>
      </c>
      <c r="J329" s="331" t="s">
        <v>635</v>
      </c>
      <c r="K329" s="38"/>
      <c r="L329" s="38"/>
      <c r="M329" s="61"/>
      <c r="N329" s="61"/>
      <c r="O329" s="89"/>
      <c r="P329" s="89"/>
      <c r="Q329" s="89"/>
      <c r="R329" s="89"/>
      <c r="S329" s="89"/>
      <c r="T329" s="89"/>
      <c r="U329" s="89"/>
      <c r="V329" s="89"/>
      <c r="W329" s="89"/>
      <c r="X329" s="70"/>
      <c r="Y329" s="70"/>
      <c r="Z329" s="70"/>
      <c r="AA329" s="70"/>
      <c r="AB329" s="50"/>
      <c r="AC329" s="92"/>
    </row>
    <row r="330" spans="1:29" ht="57" customHeight="1" x14ac:dyDescent="0.25">
      <c r="A330" s="129"/>
      <c r="B330" s="130"/>
      <c r="C330" s="329"/>
      <c r="D330" s="332"/>
      <c r="E330" s="335"/>
      <c r="F330" s="335"/>
      <c r="G330" s="338"/>
      <c r="H330" s="341"/>
      <c r="I330" s="335"/>
      <c r="J330" s="332"/>
      <c r="K330" s="56"/>
      <c r="L330" s="56"/>
      <c r="M330" s="55"/>
      <c r="N330" s="55"/>
      <c r="O330" s="87"/>
      <c r="P330" s="87"/>
      <c r="Q330" s="87"/>
      <c r="R330" s="87"/>
      <c r="S330" s="87"/>
      <c r="T330" s="87"/>
      <c r="U330" s="87"/>
      <c r="V330" s="87"/>
      <c r="W330" s="87"/>
      <c r="X330" s="68"/>
      <c r="Y330" s="68"/>
      <c r="Z330" s="68"/>
      <c r="AA330" s="68"/>
      <c r="AB330" s="51"/>
      <c r="AC330" s="93"/>
    </row>
    <row r="331" spans="1:29" ht="57" customHeight="1" thickBot="1" x14ac:dyDescent="0.3">
      <c r="A331" s="131"/>
      <c r="B331" s="132"/>
      <c r="C331" s="330"/>
      <c r="D331" s="333"/>
      <c r="E331" s="336"/>
      <c r="F331" s="336"/>
      <c r="G331" s="339"/>
      <c r="H331" s="342"/>
      <c r="I331" s="336"/>
      <c r="J331" s="333"/>
      <c r="K331" s="39"/>
      <c r="L331" s="39"/>
      <c r="M331" s="60"/>
      <c r="N331" s="60"/>
      <c r="O331" s="88"/>
      <c r="P331" s="88"/>
      <c r="Q331" s="88"/>
      <c r="R331" s="88"/>
      <c r="S331" s="88"/>
      <c r="T331" s="88"/>
      <c r="U331" s="88"/>
      <c r="V331" s="88"/>
      <c r="W331" s="88"/>
      <c r="X331" s="69"/>
      <c r="Y331" s="69"/>
      <c r="Z331" s="69"/>
      <c r="AA331" s="69"/>
      <c r="AB331" s="52"/>
      <c r="AC331" s="94"/>
    </row>
    <row r="332" spans="1:29" ht="57" customHeight="1" x14ac:dyDescent="0.25">
      <c r="A332" s="119" t="s">
        <v>636</v>
      </c>
      <c r="B332" s="128" t="s">
        <v>637</v>
      </c>
      <c r="C332" s="328" t="s">
        <v>638</v>
      </c>
      <c r="D332" s="331" t="s">
        <v>632</v>
      </c>
      <c r="E332" s="334"/>
      <c r="F332" s="334"/>
      <c r="G332" s="337" t="s">
        <v>128</v>
      </c>
      <c r="H332" s="340"/>
      <c r="I332" s="334"/>
      <c r="J332" s="331" t="s">
        <v>638</v>
      </c>
      <c r="K332" s="38"/>
      <c r="L332" s="38"/>
      <c r="M332" s="61"/>
      <c r="N332" s="61"/>
      <c r="O332" s="89"/>
      <c r="P332" s="89"/>
      <c r="Q332" s="89"/>
      <c r="R332" s="89"/>
      <c r="S332" s="89"/>
      <c r="T332" s="89"/>
      <c r="U332" s="89"/>
      <c r="V332" s="89"/>
      <c r="W332" s="89"/>
      <c r="X332" s="70"/>
      <c r="Y332" s="70"/>
      <c r="Z332" s="70"/>
      <c r="AA332" s="70"/>
      <c r="AB332" s="50"/>
      <c r="AC332" s="92"/>
    </row>
    <row r="333" spans="1:29" ht="57" customHeight="1" x14ac:dyDescent="0.25">
      <c r="A333" s="129"/>
      <c r="B333" s="130"/>
      <c r="C333" s="329"/>
      <c r="D333" s="332"/>
      <c r="E333" s="335"/>
      <c r="F333" s="335"/>
      <c r="G333" s="338"/>
      <c r="H333" s="341"/>
      <c r="I333" s="335"/>
      <c r="J333" s="332"/>
      <c r="K333" s="56"/>
      <c r="L333" s="56"/>
      <c r="M333" s="55"/>
      <c r="N333" s="55"/>
      <c r="O333" s="87"/>
      <c r="P333" s="87"/>
      <c r="Q333" s="87"/>
      <c r="R333" s="87"/>
      <c r="S333" s="87"/>
      <c r="T333" s="87"/>
      <c r="U333" s="87"/>
      <c r="V333" s="87"/>
      <c r="W333" s="87"/>
      <c r="X333" s="68"/>
      <c r="Y333" s="68"/>
      <c r="Z333" s="68"/>
      <c r="AA333" s="68"/>
      <c r="AB333" s="51"/>
      <c r="AC333" s="93"/>
    </row>
    <row r="334" spans="1:29" ht="57" customHeight="1" thickBot="1" x14ac:dyDescent="0.3">
      <c r="A334" s="131"/>
      <c r="B334" s="132"/>
      <c r="C334" s="330"/>
      <c r="D334" s="333"/>
      <c r="E334" s="336"/>
      <c r="F334" s="336"/>
      <c r="G334" s="339"/>
      <c r="H334" s="342"/>
      <c r="I334" s="336"/>
      <c r="J334" s="333"/>
      <c r="K334" s="39"/>
      <c r="L334" s="39"/>
      <c r="M334" s="60"/>
      <c r="N334" s="60"/>
      <c r="O334" s="88"/>
      <c r="P334" s="88"/>
      <c r="Q334" s="88"/>
      <c r="R334" s="88"/>
      <c r="S334" s="88"/>
      <c r="T334" s="88"/>
      <c r="U334" s="88"/>
      <c r="V334" s="88"/>
      <c r="W334" s="88"/>
      <c r="X334" s="69"/>
      <c r="Y334" s="69"/>
      <c r="Z334" s="69"/>
      <c r="AA334" s="69"/>
      <c r="AB334" s="52"/>
      <c r="AC334" s="94"/>
    </row>
    <row r="335" spans="1:29" ht="57" customHeight="1" x14ac:dyDescent="0.25">
      <c r="A335" s="119" t="s">
        <v>639</v>
      </c>
      <c r="B335" s="128" t="s">
        <v>640</v>
      </c>
      <c r="C335" s="328" t="s">
        <v>641</v>
      </c>
      <c r="D335" s="331" t="s">
        <v>632</v>
      </c>
      <c r="E335" s="334"/>
      <c r="F335" s="334"/>
      <c r="G335" s="337" t="s">
        <v>128</v>
      </c>
      <c r="H335" s="340"/>
      <c r="I335" s="334"/>
      <c r="J335" s="331" t="s">
        <v>642</v>
      </c>
      <c r="K335" s="38"/>
      <c r="L335" s="38"/>
      <c r="M335" s="61"/>
      <c r="N335" s="61"/>
      <c r="O335" s="89"/>
      <c r="P335" s="89"/>
      <c r="Q335" s="89"/>
      <c r="R335" s="89"/>
      <c r="S335" s="89"/>
      <c r="T335" s="89"/>
      <c r="U335" s="89"/>
      <c r="V335" s="89"/>
      <c r="W335" s="89"/>
      <c r="X335" s="70"/>
      <c r="Y335" s="70"/>
      <c r="Z335" s="70"/>
      <c r="AA335" s="70"/>
      <c r="AB335" s="50"/>
      <c r="AC335" s="92"/>
    </row>
    <row r="336" spans="1:29" ht="57" customHeight="1" x14ac:dyDescent="0.25">
      <c r="A336" s="129"/>
      <c r="B336" s="130"/>
      <c r="C336" s="329"/>
      <c r="D336" s="332"/>
      <c r="E336" s="335"/>
      <c r="F336" s="335"/>
      <c r="G336" s="338"/>
      <c r="H336" s="341"/>
      <c r="I336" s="335"/>
      <c r="J336" s="332"/>
      <c r="K336" s="56"/>
      <c r="L336" s="56"/>
      <c r="M336" s="55"/>
      <c r="N336" s="55"/>
      <c r="O336" s="87"/>
      <c r="P336" s="87"/>
      <c r="Q336" s="87"/>
      <c r="R336" s="87"/>
      <c r="S336" s="87"/>
      <c r="T336" s="87"/>
      <c r="U336" s="87"/>
      <c r="V336" s="87"/>
      <c r="W336" s="87"/>
      <c r="X336" s="68"/>
      <c r="Y336" s="68"/>
      <c r="Z336" s="68"/>
      <c r="AA336" s="68"/>
      <c r="AB336" s="51"/>
      <c r="AC336" s="93"/>
    </row>
    <row r="337" spans="1:29" ht="57" customHeight="1" thickBot="1" x14ac:dyDescent="0.3">
      <c r="A337" s="131"/>
      <c r="B337" s="132"/>
      <c r="C337" s="330"/>
      <c r="D337" s="333"/>
      <c r="E337" s="336"/>
      <c r="F337" s="336"/>
      <c r="G337" s="339"/>
      <c r="H337" s="342"/>
      <c r="I337" s="336"/>
      <c r="J337" s="333"/>
      <c r="K337" s="39"/>
      <c r="L337" s="39"/>
      <c r="M337" s="60"/>
      <c r="N337" s="60"/>
      <c r="O337" s="88"/>
      <c r="P337" s="88"/>
      <c r="Q337" s="88"/>
      <c r="R337" s="88"/>
      <c r="S337" s="88"/>
      <c r="T337" s="88"/>
      <c r="U337" s="88"/>
      <c r="V337" s="88"/>
      <c r="W337" s="88"/>
      <c r="X337" s="69"/>
      <c r="Y337" s="69"/>
      <c r="Z337" s="69"/>
      <c r="AA337" s="69"/>
      <c r="AB337" s="52"/>
      <c r="AC337" s="94"/>
    </row>
    <row r="338" spans="1:29" ht="57" customHeight="1" x14ac:dyDescent="0.25">
      <c r="A338" s="119" t="s">
        <v>643</v>
      </c>
      <c r="B338" s="128" t="s">
        <v>644</v>
      </c>
      <c r="C338" s="328" t="s">
        <v>645</v>
      </c>
      <c r="D338" s="331" t="s">
        <v>646</v>
      </c>
      <c r="E338" s="334"/>
      <c r="F338" s="334"/>
      <c r="G338" s="337" t="s">
        <v>128</v>
      </c>
      <c r="H338" s="340"/>
      <c r="I338" s="334"/>
      <c r="J338" s="331" t="s">
        <v>647</v>
      </c>
      <c r="K338" s="38"/>
      <c r="L338" s="38"/>
      <c r="M338" s="61"/>
      <c r="N338" s="61"/>
      <c r="O338" s="89"/>
      <c r="P338" s="89"/>
      <c r="Q338" s="89"/>
      <c r="R338" s="89"/>
      <c r="S338" s="89"/>
      <c r="T338" s="89"/>
      <c r="U338" s="89"/>
      <c r="V338" s="89"/>
      <c r="W338" s="89"/>
      <c r="X338" s="70"/>
      <c r="Y338" s="70"/>
      <c r="Z338" s="70"/>
      <c r="AA338" s="70"/>
      <c r="AB338" s="50"/>
      <c r="AC338" s="92"/>
    </row>
    <row r="339" spans="1:29" ht="57" customHeight="1" x14ac:dyDescent="0.25">
      <c r="A339" s="129"/>
      <c r="B339" s="130"/>
      <c r="C339" s="329"/>
      <c r="D339" s="332"/>
      <c r="E339" s="335"/>
      <c r="F339" s="335"/>
      <c r="G339" s="338"/>
      <c r="H339" s="341"/>
      <c r="I339" s="335"/>
      <c r="J339" s="332"/>
      <c r="K339" s="56"/>
      <c r="L339" s="56"/>
      <c r="M339" s="55"/>
      <c r="N339" s="55"/>
      <c r="O339" s="87"/>
      <c r="P339" s="87"/>
      <c r="Q339" s="87"/>
      <c r="R339" s="87"/>
      <c r="S339" s="87"/>
      <c r="T339" s="87"/>
      <c r="U339" s="87"/>
      <c r="V339" s="87"/>
      <c r="W339" s="87"/>
      <c r="X339" s="68"/>
      <c r="Y339" s="68"/>
      <c r="Z339" s="68"/>
      <c r="AA339" s="68"/>
      <c r="AB339" s="51"/>
      <c r="AC339" s="93"/>
    </row>
    <row r="340" spans="1:29" ht="57" customHeight="1" thickBot="1" x14ac:dyDescent="0.3">
      <c r="A340" s="131"/>
      <c r="B340" s="132"/>
      <c r="C340" s="330"/>
      <c r="D340" s="333"/>
      <c r="E340" s="336"/>
      <c r="F340" s="336"/>
      <c r="G340" s="339"/>
      <c r="H340" s="342"/>
      <c r="I340" s="336"/>
      <c r="J340" s="333"/>
      <c r="K340" s="39"/>
      <c r="L340" s="39"/>
      <c r="M340" s="60"/>
      <c r="N340" s="60"/>
      <c r="O340" s="88"/>
      <c r="P340" s="88"/>
      <c r="Q340" s="88"/>
      <c r="R340" s="88"/>
      <c r="S340" s="88"/>
      <c r="T340" s="88"/>
      <c r="U340" s="88"/>
      <c r="V340" s="88"/>
      <c r="W340" s="88"/>
      <c r="X340" s="69"/>
      <c r="Y340" s="69"/>
      <c r="Z340" s="69"/>
      <c r="AA340" s="69"/>
      <c r="AB340" s="52"/>
      <c r="AC340" s="94"/>
    </row>
    <row r="341" spans="1:29" ht="57" customHeight="1" thickBot="1" x14ac:dyDescent="0.3">
      <c r="A341" s="149"/>
      <c r="B341" s="146" t="s">
        <v>648</v>
      </c>
      <c r="C341" s="343" t="s">
        <v>649</v>
      </c>
      <c r="D341" s="344"/>
      <c r="E341" s="138"/>
      <c r="F341" s="138"/>
      <c r="G341" s="138"/>
      <c r="H341" s="138"/>
      <c r="I341" s="138"/>
      <c r="J341" s="138"/>
      <c r="K341" s="135"/>
      <c r="L341" s="135"/>
      <c r="M341" s="135"/>
      <c r="N341" s="135"/>
      <c r="O341" s="141"/>
      <c r="P341" s="141"/>
      <c r="Q341" s="141"/>
      <c r="R341" s="141"/>
      <c r="S341" s="141"/>
      <c r="T341" s="141"/>
      <c r="U341" s="141"/>
      <c r="V341" s="141"/>
      <c r="W341" s="141"/>
      <c r="X341" s="142"/>
      <c r="Y341" s="142"/>
      <c r="Z341" s="142"/>
      <c r="AA341" s="142"/>
      <c r="AB341" s="135"/>
      <c r="AC341" s="54"/>
    </row>
    <row r="342" spans="1:29" ht="57" customHeight="1" x14ac:dyDescent="0.25">
      <c r="A342" s="119" t="s">
        <v>650</v>
      </c>
      <c r="B342" s="128" t="s">
        <v>651</v>
      </c>
      <c r="C342" s="328" t="s">
        <v>652</v>
      </c>
      <c r="D342" s="331" t="s">
        <v>653</v>
      </c>
      <c r="E342" s="334" t="s">
        <v>654</v>
      </c>
      <c r="F342" s="334"/>
      <c r="G342" s="337" t="s">
        <v>128</v>
      </c>
      <c r="H342" s="340"/>
      <c r="I342" s="334" t="s">
        <v>655</v>
      </c>
      <c r="J342" s="331" t="s">
        <v>652</v>
      </c>
      <c r="K342" s="38"/>
      <c r="L342" s="38"/>
      <c r="M342" s="61"/>
      <c r="N342" s="61"/>
      <c r="O342" s="89"/>
      <c r="P342" s="89"/>
      <c r="Q342" s="89"/>
      <c r="R342" s="89"/>
      <c r="S342" s="89"/>
      <c r="T342" s="89"/>
      <c r="U342" s="89"/>
      <c r="V342" s="89"/>
      <c r="W342" s="89"/>
      <c r="X342" s="70"/>
      <c r="Y342" s="70"/>
      <c r="Z342" s="70"/>
      <c r="AA342" s="70"/>
      <c r="AB342" s="50"/>
      <c r="AC342" s="92"/>
    </row>
    <row r="343" spans="1:29" ht="57" customHeight="1" x14ac:dyDescent="0.25">
      <c r="A343" s="129"/>
      <c r="B343" s="130"/>
      <c r="C343" s="329"/>
      <c r="D343" s="332"/>
      <c r="E343" s="335"/>
      <c r="F343" s="335"/>
      <c r="G343" s="338"/>
      <c r="H343" s="341"/>
      <c r="I343" s="335"/>
      <c r="J343" s="332"/>
      <c r="K343" s="56"/>
      <c r="L343" s="56"/>
      <c r="M343" s="55"/>
      <c r="N343" s="55"/>
      <c r="O343" s="87"/>
      <c r="P343" s="87"/>
      <c r="Q343" s="87"/>
      <c r="R343" s="87"/>
      <c r="S343" s="87"/>
      <c r="T343" s="87"/>
      <c r="U343" s="87"/>
      <c r="V343" s="87"/>
      <c r="W343" s="87"/>
      <c r="X343" s="68"/>
      <c r="Y343" s="68"/>
      <c r="Z343" s="68"/>
      <c r="AA343" s="68"/>
      <c r="AB343" s="51"/>
      <c r="AC343" s="93"/>
    </row>
    <row r="344" spans="1:29" ht="57" customHeight="1" thickBot="1" x14ac:dyDescent="0.3">
      <c r="A344" s="131"/>
      <c r="B344" s="132"/>
      <c r="C344" s="330"/>
      <c r="D344" s="333"/>
      <c r="E344" s="336"/>
      <c r="F344" s="336"/>
      <c r="G344" s="339"/>
      <c r="H344" s="342"/>
      <c r="I344" s="336"/>
      <c r="J344" s="333"/>
      <c r="K344" s="39"/>
      <c r="L344" s="39"/>
      <c r="M344" s="60"/>
      <c r="N344" s="60"/>
      <c r="O344" s="88"/>
      <c r="P344" s="88"/>
      <c r="Q344" s="88"/>
      <c r="R344" s="88"/>
      <c r="S344" s="88"/>
      <c r="T344" s="88"/>
      <c r="U344" s="88"/>
      <c r="V344" s="88"/>
      <c r="W344" s="88"/>
      <c r="X344" s="69"/>
      <c r="Y344" s="69"/>
      <c r="Z344" s="69"/>
      <c r="AA344" s="69"/>
      <c r="AB344" s="52"/>
      <c r="AC344" s="94"/>
    </row>
    <row r="345" spans="1:29" ht="57" customHeight="1" thickBot="1" x14ac:dyDescent="0.3">
      <c r="A345" s="127"/>
      <c r="B345" s="138" t="s">
        <v>656</v>
      </c>
      <c r="C345" s="343" t="s">
        <v>657</v>
      </c>
      <c r="D345" s="344"/>
      <c r="E345" s="138"/>
      <c r="F345" s="138"/>
      <c r="G345" s="138"/>
      <c r="H345" s="138"/>
      <c r="I345" s="138"/>
      <c r="J345" s="138"/>
      <c r="K345" s="135"/>
      <c r="L345" s="135"/>
      <c r="M345" s="135"/>
      <c r="N345" s="135"/>
      <c r="O345" s="141"/>
      <c r="P345" s="141"/>
      <c r="Q345" s="141"/>
      <c r="R345" s="141"/>
      <c r="S345" s="141"/>
      <c r="T345" s="141"/>
      <c r="U345" s="141"/>
      <c r="V345" s="141"/>
      <c r="W345" s="141"/>
      <c r="X345" s="142"/>
      <c r="Y345" s="142"/>
      <c r="Z345" s="142"/>
      <c r="AA345" s="142"/>
      <c r="AB345" s="135"/>
      <c r="AC345" s="54"/>
    </row>
    <row r="346" spans="1:29" ht="57" customHeight="1" x14ac:dyDescent="0.25">
      <c r="A346" s="119" t="s">
        <v>658</v>
      </c>
      <c r="B346" s="128" t="s">
        <v>659</v>
      </c>
      <c r="C346" s="328" t="s">
        <v>660</v>
      </c>
      <c r="D346" s="331" t="s">
        <v>661</v>
      </c>
      <c r="E346" s="334" t="s">
        <v>662</v>
      </c>
      <c r="F346" s="334"/>
      <c r="G346" s="337" t="s">
        <v>128</v>
      </c>
      <c r="H346" s="340"/>
      <c r="I346" s="334" t="s">
        <v>663</v>
      </c>
      <c r="J346" s="331" t="s">
        <v>660</v>
      </c>
      <c r="K346" s="38"/>
      <c r="L346" s="38"/>
      <c r="M346" s="61"/>
      <c r="N346" s="61"/>
      <c r="O346" s="89"/>
      <c r="P346" s="89"/>
      <c r="Q346" s="89"/>
      <c r="R346" s="89"/>
      <c r="S346" s="89"/>
      <c r="T346" s="89"/>
      <c r="U346" s="89"/>
      <c r="V346" s="89"/>
      <c r="W346" s="89"/>
      <c r="X346" s="70"/>
      <c r="Y346" s="70"/>
      <c r="Z346" s="70"/>
      <c r="AA346" s="70"/>
      <c r="AB346" s="50"/>
      <c r="AC346" s="92"/>
    </row>
    <row r="347" spans="1:29" ht="57" customHeight="1" x14ac:dyDescent="0.25">
      <c r="A347" s="129"/>
      <c r="B347" s="130"/>
      <c r="C347" s="329"/>
      <c r="D347" s="332"/>
      <c r="E347" s="335"/>
      <c r="F347" s="335"/>
      <c r="G347" s="338"/>
      <c r="H347" s="341"/>
      <c r="I347" s="335"/>
      <c r="J347" s="332"/>
      <c r="K347" s="56"/>
      <c r="L347" s="56"/>
      <c r="M347" s="55"/>
      <c r="N347" s="55"/>
      <c r="O347" s="87"/>
      <c r="P347" s="87"/>
      <c r="Q347" s="87"/>
      <c r="R347" s="87"/>
      <c r="S347" s="87"/>
      <c r="T347" s="87"/>
      <c r="U347" s="87"/>
      <c r="V347" s="87"/>
      <c r="W347" s="87"/>
      <c r="X347" s="68"/>
      <c r="Y347" s="68"/>
      <c r="Z347" s="68"/>
      <c r="AA347" s="68"/>
      <c r="AB347" s="51"/>
      <c r="AC347" s="93"/>
    </row>
    <row r="348" spans="1:29" ht="57" customHeight="1" thickBot="1" x14ac:dyDescent="0.3">
      <c r="A348" s="131"/>
      <c r="B348" s="132"/>
      <c r="C348" s="330"/>
      <c r="D348" s="333"/>
      <c r="E348" s="336"/>
      <c r="F348" s="336"/>
      <c r="G348" s="339"/>
      <c r="H348" s="342"/>
      <c r="I348" s="336"/>
      <c r="J348" s="333"/>
      <c r="K348" s="39"/>
      <c r="L348" s="39"/>
      <c r="M348" s="60"/>
      <c r="N348" s="60"/>
      <c r="O348" s="88"/>
      <c r="P348" s="88"/>
      <c r="Q348" s="88"/>
      <c r="R348" s="88"/>
      <c r="S348" s="88"/>
      <c r="T348" s="88"/>
      <c r="U348" s="88"/>
      <c r="V348" s="88"/>
      <c r="W348" s="88"/>
      <c r="X348" s="69"/>
      <c r="Y348" s="69"/>
      <c r="Z348" s="69"/>
      <c r="AA348" s="69"/>
      <c r="AB348" s="52"/>
      <c r="AC348" s="94"/>
    </row>
    <row r="349" spans="1:29" ht="57" customHeight="1" x14ac:dyDescent="0.25">
      <c r="A349" s="119" t="s">
        <v>664</v>
      </c>
      <c r="B349" s="128" t="s">
        <v>665</v>
      </c>
      <c r="C349" s="328" t="s">
        <v>666</v>
      </c>
      <c r="D349" s="331" t="s">
        <v>667</v>
      </c>
      <c r="E349" s="334" t="s">
        <v>668</v>
      </c>
      <c r="F349" s="334"/>
      <c r="G349" s="337" t="s">
        <v>128</v>
      </c>
      <c r="H349" s="340"/>
      <c r="I349" s="334" t="s">
        <v>663</v>
      </c>
      <c r="J349" s="331" t="s">
        <v>666</v>
      </c>
      <c r="K349" s="38"/>
      <c r="L349" s="38"/>
      <c r="M349" s="61"/>
      <c r="N349" s="61"/>
      <c r="O349" s="89"/>
      <c r="P349" s="89"/>
      <c r="Q349" s="89"/>
      <c r="R349" s="89"/>
      <c r="S349" s="89"/>
      <c r="T349" s="89"/>
      <c r="U349" s="89"/>
      <c r="V349" s="89"/>
      <c r="W349" s="89"/>
      <c r="X349" s="70"/>
      <c r="Y349" s="70"/>
      <c r="Z349" s="70"/>
      <c r="AA349" s="70"/>
      <c r="AB349" s="50"/>
      <c r="AC349" s="92"/>
    </row>
    <row r="350" spans="1:29" ht="57" customHeight="1" x14ac:dyDescent="0.25">
      <c r="A350" s="129"/>
      <c r="B350" s="130"/>
      <c r="C350" s="329"/>
      <c r="D350" s="332"/>
      <c r="E350" s="335"/>
      <c r="F350" s="335"/>
      <c r="G350" s="338"/>
      <c r="H350" s="341"/>
      <c r="I350" s="335"/>
      <c r="J350" s="332"/>
      <c r="K350" s="56"/>
      <c r="L350" s="56"/>
      <c r="M350" s="55"/>
      <c r="N350" s="55"/>
      <c r="O350" s="87"/>
      <c r="P350" s="87"/>
      <c r="Q350" s="87"/>
      <c r="R350" s="87"/>
      <c r="S350" s="87"/>
      <c r="T350" s="87"/>
      <c r="U350" s="87"/>
      <c r="V350" s="87"/>
      <c r="W350" s="87"/>
      <c r="X350" s="68"/>
      <c r="Y350" s="68"/>
      <c r="Z350" s="68"/>
      <c r="AA350" s="68"/>
      <c r="AB350" s="51"/>
      <c r="AC350" s="93"/>
    </row>
    <row r="351" spans="1:29" ht="57" customHeight="1" thickBot="1" x14ac:dyDescent="0.3">
      <c r="A351" s="131"/>
      <c r="B351" s="132"/>
      <c r="C351" s="330"/>
      <c r="D351" s="333"/>
      <c r="E351" s="336"/>
      <c r="F351" s="336"/>
      <c r="G351" s="339"/>
      <c r="H351" s="342"/>
      <c r="I351" s="336"/>
      <c r="J351" s="333"/>
      <c r="K351" s="39"/>
      <c r="L351" s="39"/>
      <c r="M351" s="60"/>
      <c r="N351" s="60"/>
      <c r="O351" s="88"/>
      <c r="P351" s="88"/>
      <c r="Q351" s="88"/>
      <c r="R351" s="88"/>
      <c r="S351" s="88"/>
      <c r="T351" s="88"/>
      <c r="U351" s="88"/>
      <c r="V351" s="88"/>
      <c r="W351" s="88"/>
      <c r="X351" s="69"/>
      <c r="Y351" s="69"/>
      <c r="Z351" s="69"/>
      <c r="AA351" s="69"/>
      <c r="AB351" s="52"/>
      <c r="AC351" s="94"/>
    </row>
    <row r="352" spans="1:29" ht="57" customHeight="1" x14ac:dyDescent="0.25">
      <c r="A352" s="119" t="s">
        <v>669</v>
      </c>
      <c r="B352" s="128" t="s">
        <v>670</v>
      </c>
      <c r="C352" s="328" t="s">
        <v>671</v>
      </c>
      <c r="D352" s="331" t="s">
        <v>632</v>
      </c>
      <c r="E352" s="334"/>
      <c r="F352" s="334"/>
      <c r="G352" s="337" t="s">
        <v>128</v>
      </c>
      <c r="H352" s="340"/>
      <c r="I352" s="334" t="s">
        <v>663</v>
      </c>
      <c r="J352" s="331" t="s">
        <v>671</v>
      </c>
      <c r="K352" s="38"/>
      <c r="L352" s="38"/>
      <c r="M352" s="61"/>
      <c r="N352" s="61"/>
      <c r="O352" s="89"/>
      <c r="P352" s="89"/>
      <c r="Q352" s="89"/>
      <c r="R352" s="89"/>
      <c r="S352" s="89"/>
      <c r="T352" s="89"/>
      <c r="U352" s="89"/>
      <c r="V352" s="89"/>
      <c r="W352" s="89"/>
      <c r="X352" s="70"/>
      <c r="Y352" s="70"/>
      <c r="Z352" s="70"/>
      <c r="AA352" s="70"/>
      <c r="AB352" s="50"/>
      <c r="AC352" s="92"/>
    </row>
    <row r="353" spans="1:29" ht="57" customHeight="1" x14ac:dyDescent="0.25">
      <c r="A353" s="129"/>
      <c r="B353" s="130"/>
      <c r="C353" s="329"/>
      <c r="D353" s="332"/>
      <c r="E353" s="335"/>
      <c r="F353" s="335"/>
      <c r="G353" s="338"/>
      <c r="H353" s="341"/>
      <c r="I353" s="335"/>
      <c r="J353" s="332"/>
      <c r="K353" s="56"/>
      <c r="L353" s="56"/>
      <c r="M353" s="55"/>
      <c r="N353" s="55"/>
      <c r="O353" s="87"/>
      <c r="P353" s="87"/>
      <c r="Q353" s="87"/>
      <c r="R353" s="87"/>
      <c r="S353" s="87"/>
      <c r="T353" s="87"/>
      <c r="U353" s="87"/>
      <c r="V353" s="87"/>
      <c r="W353" s="87"/>
      <c r="X353" s="68"/>
      <c r="Y353" s="68"/>
      <c r="Z353" s="68"/>
      <c r="AA353" s="68"/>
      <c r="AB353" s="51"/>
      <c r="AC353" s="93"/>
    </row>
    <row r="354" spans="1:29" ht="57" customHeight="1" thickBot="1" x14ac:dyDescent="0.3">
      <c r="A354" s="131"/>
      <c r="B354" s="132"/>
      <c r="C354" s="330"/>
      <c r="D354" s="333"/>
      <c r="E354" s="336"/>
      <c r="F354" s="336"/>
      <c r="G354" s="339"/>
      <c r="H354" s="342"/>
      <c r="I354" s="336"/>
      <c r="J354" s="333"/>
      <c r="K354" s="39"/>
      <c r="L354" s="39"/>
      <c r="M354" s="60"/>
      <c r="N354" s="60"/>
      <c r="O354" s="88"/>
      <c r="P354" s="88"/>
      <c r="Q354" s="88"/>
      <c r="R354" s="88"/>
      <c r="S354" s="88"/>
      <c r="T354" s="88"/>
      <c r="U354" s="88"/>
      <c r="V354" s="88"/>
      <c r="W354" s="88"/>
      <c r="X354" s="69"/>
      <c r="Y354" s="69"/>
      <c r="Z354" s="69"/>
      <c r="AA354" s="69"/>
      <c r="AB354" s="52"/>
      <c r="AC354" s="94"/>
    </row>
    <row r="355" spans="1:29" ht="57" customHeight="1" x14ac:dyDescent="0.25">
      <c r="A355" s="119" t="s">
        <v>672</v>
      </c>
      <c r="B355" s="128" t="s">
        <v>673</v>
      </c>
      <c r="C355" s="328" t="s">
        <v>674</v>
      </c>
      <c r="D355" s="331" t="s">
        <v>632</v>
      </c>
      <c r="E355" s="334"/>
      <c r="F355" s="334"/>
      <c r="G355" s="337" t="s">
        <v>128</v>
      </c>
      <c r="H355" s="340"/>
      <c r="I355" s="334" t="s">
        <v>663</v>
      </c>
      <c r="J355" s="331" t="s">
        <v>674</v>
      </c>
      <c r="K355" s="38"/>
      <c r="L355" s="38"/>
      <c r="M355" s="61"/>
      <c r="N355" s="61"/>
      <c r="O355" s="89"/>
      <c r="P355" s="89"/>
      <c r="Q355" s="89"/>
      <c r="R355" s="89"/>
      <c r="S355" s="89"/>
      <c r="T355" s="89"/>
      <c r="U355" s="89"/>
      <c r="V355" s="89"/>
      <c r="W355" s="89"/>
      <c r="X355" s="70"/>
      <c r="Y355" s="70"/>
      <c r="Z355" s="70"/>
      <c r="AA355" s="70"/>
      <c r="AB355" s="50"/>
      <c r="AC355" s="92"/>
    </row>
    <row r="356" spans="1:29" ht="57" customHeight="1" x14ac:dyDescent="0.25">
      <c r="A356" s="129"/>
      <c r="B356" s="130"/>
      <c r="C356" s="329"/>
      <c r="D356" s="332"/>
      <c r="E356" s="335"/>
      <c r="F356" s="335"/>
      <c r="G356" s="338"/>
      <c r="H356" s="341"/>
      <c r="I356" s="335"/>
      <c r="J356" s="332"/>
      <c r="K356" s="56"/>
      <c r="L356" s="56"/>
      <c r="M356" s="55"/>
      <c r="N356" s="55"/>
      <c r="O356" s="87"/>
      <c r="P356" s="87"/>
      <c r="Q356" s="87"/>
      <c r="R356" s="87"/>
      <c r="S356" s="87"/>
      <c r="T356" s="87"/>
      <c r="U356" s="87"/>
      <c r="V356" s="87"/>
      <c r="W356" s="87"/>
      <c r="X356" s="68"/>
      <c r="Y356" s="68"/>
      <c r="Z356" s="68"/>
      <c r="AA356" s="68"/>
      <c r="AB356" s="51"/>
      <c r="AC356" s="93"/>
    </row>
    <row r="357" spans="1:29" ht="57" customHeight="1" thickBot="1" x14ac:dyDescent="0.3">
      <c r="A357" s="131"/>
      <c r="B357" s="132"/>
      <c r="C357" s="330"/>
      <c r="D357" s="333"/>
      <c r="E357" s="336"/>
      <c r="F357" s="336"/>
      <c r="G357" s="339"/>
      <c r="H357" s="342"/>
      <c r="I357" s="336"/>
      <c r="J357" s="333"/>
      <c r="K357" s="39"/>
      <c r="L357" s="39"/>
      <c r="M357" s="60"/>
      <c r="N357" s="60"/>
      <c r="O357" s="88"/>
      <c r="P357" s="88"/>
      <c r="Q357" s="88"/>
      <c r="R357" s="88"/>
      <c r="S357" s="88"/>
      <c r="T357" s="88"/>
      <c r="U357" s="88"/>
      <c r="V357" s="88"/>
      <c r="W357" s="88"/>
      <c r="X357" s="69"/>
      <c r="Y357" s="69"/>
      <c r="Z357" s="69"/>
      <c r="AA357" s="69"/>
      <c r="AB357" s="52"/>
      <c r="AC357" s="94"/>
    </row>
    <row r="358" spans="1:29" ht="57" customHeight="1" thickBot="1" x14ac:dyDescent="0.3">
      <c r="A358" s="127"/>
      <c r="B358" s="138" t="s">
        <v>675</v>
      </c>
      <c r="C358" s="343" t="s">
        <v>676</v>
      </c>
      <c r="D358" s="344"/>
      <c r="E358" s="138"/>
      <c r="F358" s="138"/>
      <c r="G358" s="138"/>
      <c r="H358" s="138"/>
      <c r="I358" s="138"/>
      <c r="J358" s="138"/>
      <c r="K358" s="135"/>
      <c r="L358" s="135"/>
      <c r="M358" s="135"/>
      <c r="N358" s="135"/>
      <c r="O358" s="141"/>
      <c r="P358" s="141"/>
      <c r="Q358" s="141"/>
      <c r="R358" s="141"/>
      <c r="S358" s="141"/>
      <c r="T358" s="141"/>
      <c r="U358" s="141"/>
      <c r="V358" s="141"/>
      <c r="W358" s="141"/>
      <c r="X358" s="142"/>
      <c r="Y358" s="142"/>
      <c r="Z358" s="142"/>
      <c r="AA358" s="142"/>
      <c r="AB358" s="135"/>
      <c r="AC358" s="157"/>
    </row>
    <row r="359" spans="1:29" ht="57" customHeight="1" x14ac:dyDescent="0.25">
      <c r="A359" s="119" t="s">
        <v>677</v>
      </c>
      <c r="B359" s="128" t="s">
        <v>678</v>
      </c>
      <c r="C359" s="328" t="s">
        <v>679</v>
      </c>
      <c r="D359" s="331" t="s">
        <v>680</v>
      </c>
      <c r="E359" s="334" t="s">
        <v>681</v>
      </c>
      <c r="F359" s="334"/>
      <c r="G359" s="337" t="s">
        <v>128</v>
      </c>
      <c r="H359" s="340"/>
      <c r="I359" s="334" t="s">
        <v>682</v>
      </c>
      <c r="J359" s="331" t="s">
        <v>679</v>
      </c>
      <c r="K359" s="38"/>
      <c r="L359" s="38"/>
      <c r="M359" s="61"/>
      <c r="N359" s="61"/>
      <c r="O359" s="89"/>
      <c r="P359" s="89"/>
      <c r="Q359" s="89"/>
      <c r="R359" s="89"/>
      <c r="S359" s="89"/>
      <c r="T359" s="89"/>
      <c r="U359" s="89"/>
      <c r="V359" s="89"/>
      <c r="W359" s="89"/>
      <c r="X359" s="70"/>
      <c r="Y359" s="70"/>
      <c r="Z359" s="70"/>
      <c r="AA359" s="70"/>
      <c r="AB359" s="50"/>
      <c r="AC359" s="92"/>
    </row>
    <row r="360" spans="1:29" ht="57" customHeight="1" x14ac:dyDescent="0.25">
      <c r="A360" s="129"/>
      <c r="B360" s="130"/>
      <c r="C360" s="329"/>
      <c r="D360" s="332"/>
      <c r="E360" s="335"/>
      <c r="F360" s="335"/>
      <c r="G360" s="338"/>
      <c r="H360" s="341"/>
      <c r="I360" s="335"/>
      <c r="J360" s="332"/>
      <c r="K360" s="56"/>
      <c r="L360" s="56"/>
      <c r="M360" s="55"/>
      <c r="N360" s="55"/>
      <c r="O360" s="87"/>
      <c r="P360" s="87"/>
      <c r="Q360" s="87"/>
      <c r="R360" s="87"/>
      <c r="S360" s="87"/>
      <c r="T360" s="87"/>
      <c r="U360" s="87"/>
      <c r="V360" s="87"/>
      <c r="W360" s="87"/>
      <c r="X360" s="68"/>
      <c r="Y360" s="68"/>
      <c r="Z360" s="68"/>
      <c r="AA360" s="68"/>
      <c r="AB360" s="51"/>
      <c r="AC360" s="93"/>
    </row>
    <row r="361" spans="1:29" ht="57" customHeight="1" thickBot="1" x14ac:dyDescent="0.3">
      <c r="A361" s="131"/>
      <c r="B361" s="132"/>
      <c r="C361" s="330"/>
      <c r="D361" s="333"/>
      <c r="E361" s="336"/>
      <c r="F361" s="336"/>
      <c r="G361" s="339"/>
      <c r="H361" s="342"/>
      <c r="I361" s="336"/>
      <c r="J361" s="333"/>
      <c r="K361" s="39"/>
      <c r="L361" s="39"/>
      <c r="M361" s="60"/>
      <c r="N361" s="60"/>
      <c r="O361" s="88"/>
      <c r="P361" s="88"/>
      <c r="Q361" s="88"/>
      <c r="R361" s="88"/>
      <c r="S361" s="88"/>
      <c r="T361" s="88"/>
      <c r="U361" s="88"/>
      <c r="V361" s="88"/>
      <c r="W361" s="88"/>
      <c r="X361" s="69"/>
      <c r="Y361" s="69"/>
      <c r="Z361" s="69"/>
      <c r="AA361" s="69"/>
      <c r="AB361" s="52"/>
      <c r="AC361" s="94"/>
    </row>
    <row r="362" spans="1:29" ht="57" customHeight="1" x14ac:dyDescent="0.25">
      <c r="A362" s="119" t="s">
        <v>683</v>
      </c>
      <c r="B362" s="128" t="s">
        <v>684</v>
      </c>
      <c r="C362" s="328" t="s">
        <v>685</v>
      </c>
      <c r="D362" s="331" t="s">
        <v>680</v>
      </c>
      <c r="E362" s="334"/>
      <c r="F362" s="334"/>
      <c r="G362" s="337" t="s">
        <v>128</v>
      </c>
      <c r="H362" s="340"/>
      <c r="I362" s="334" t="s">
        <v>682</v>
      </c>
      <c r="J362" s="331" t="s">
        <v>685</v>
      </c>
      <c r="K362" s="38"/>
      <c r="L362" s="38"/>
      <c r="M362" s="61"/>
      <c r="N362" s="61"/>
      <c r="O362" s="89"/>
      <c r="P362" s="89"/>
      <c r="Q362" s="89"/>
      <c r="R362" s="89"/>
      <c r="S362" s="89"/>
      <c r="T362" s="89"/>
      <c r="U362" s="89"/>
      <c r="V362" s="89"/>
      <c r="W362" s="89"/>
      <c r="X362" s="70"/>
      <c r="Y362" s="70"/>
      <c r="Z362" s="70"/>
      <c r="AA362" s="70"/>
      <c r="AB362" s="50"/>
      <c r="AC362" s="92"/>
    </row>
    <row r="363" spans="1:29" ht="57" customHeight="1" x14ac:dyDescent="0.25">
      <c r="A363" s="129"/>
      <c r="B363" s="130"/>
      <c r="C363" s="329"/>
      <c r="D363" s="332"/>
      <c r="E363" s="335"/>
      <c r="F363" s="335"/>
      <c r="G363" s="338"/>
      <c r="H363" s="341"/>
      <c r="I363" s="335"/>
      <c r="J363" s="332"/>
      <c r="K363" s="56"/>
      <c r="L363" s="56"/>
      <c r="M363" s="55"/>
      <c r="N363" s="55"/>
      <c r="O363" s="87"/>
      <c r="P363" s="87"/>
      <c r="Q363" s="87"/>
      <c r="R363" s="87"/>
      <c r="S363" s="87"/>
      <c r="T363" s="87"/>
      <c r="U363" s="87"/>
      <c r="V363" s="87"/>
      <c r="W363" s="87"/>
      <c r="X363" s="68"/>
      <c r="Y363" s="68"/>
      <c r="Z363" s="68"/>
      <c r="AA363" s="68"/>
      <c r="AB363" s="51"/>
      <c r="AC363" s="93"/>
    </row>
    <row r="364" spans="1:29" ht="57" customHeight="1" thickBot="1" x14ac:dyDescent="0.3">
      <c r="A364" s="131"/>
      <c r="B364" s="132"/>
      <c r="C364" s="330"/>
      <c r="D364" s="333"/>
      <c r="E364" s="336"/>
      <c r="F364" s="336"/>
      <c r="G364" s="339"/>
      <c r="H364" s="342"/>
      <c r="I364" s="336"/>
      <c r="J364" s="333"/>
      <c r="K364" s="39"/>
      <c r="L364" s="39"/>
      <c r="M364" s="60"/>
      <c r="N364" s="60"/>
      <c r="O364" s="88"/>
      <c r="P364" s="88"/>
      <c r="Q364" s="88"/>
      <c r="R364" s="88"/>
      <c r="S364" s="88"/>
      <c r="T364" s="88"/>
      <c r="U364" s="88"/>
      <c r="V364" s="88"/>
      <c r="W364" s="88"/>
      <c r="X364" s="69"/>
      <c r="Y364" s="69"/>
      <c r="Z364" s="69"/>
      <c r="AA364" s="69"/>
      <c r="AB364" s="52"/>
      <c r="AC364" s="94"/>
    </row>
    <row r="365" spans="1:29" ht="57" customHeight="1" x14ac:dyDescent="0.25">
      <c r="A365" s="119" t="s">
        <v>686</v>
      </c>
      <c r="B365" s="128" t="s">
        <v>687</v>
      </c>
      <c r="C365" s="328" t="s">
        <v>688</v>
      </c>
      <c r="D365" s="331" t="s">
        <v>689</v>
      </c>
      <c r="E365" s="334"/>
      <c r="F365" s="334"/>
      <c r="G365" s="337" t="s">
        <v>128</v>
      </c>
      <c r="H365" s="340"/>
      <c r="I365" s="334" t="s">
        <v>682</v>
      </c>
      <c r="J365" s="331" t="s">
        <v>688</v>
      </c>
      <c r="K365" s="38"/>
      <c r="L365" s="38"/>
      <c r="M365" s="61"/>
      <c r="N365" s="61"/>
      <c r="O365" s="89"/>
      <c r="P365" s="89"/>
      <c r="Q365" s="89"/>
      <c r="R365" s="89"/>
      <c r="S365" s="89"/>
      <c r="T365" s="89"/>
      <c r="U365" s="89"/>
      <c r="V365" s="89"/>
      <c r="W365" s="89"/>
      <c r="X365" s="70"/>
      <c r="Y365" s="70"/>
      <c r="Z365" s="70"/>
      <c r="AA365" s="70"/>
      <c r="AB365" s="50"/>
      <c r="AC365" s="92"/>
    </row>
    <row r="366" spans="1:29" ht="57" customHeight="1" x14ac:dyDescent="0.25">
      <c r="A366" s="129"/>
      <c r="B366" s="130"/>
      <c r="C366" s="329"/>
      <c r="D366" s="332"/>
      <c r="E366" s="335"/>
      <c r="F366" s="335"/>
      <c r="G366" s="338"/>
      <c r="H366" s="341"/>
      <c r="I366" s="335"/>
      <c r="J366" s="332"/>
      <c r="K366" s="56"/>
      <c r="L366" s="56"/>
      <c r="M366" s="55"/>
      <c r="N366" s="55"/>
      <c r="O366" s="87"/>
      <c r="P366" s="87"/>
      <c r="Q366" s="87"/>
      <c r="R366" s="87"/>
      <c r="S366" s="87"/>
      <c r="T366" s="87"/>
      <c r="U366" s="87"/>
      <c r="V366" s="87"/>
      <c r="W366" s="87"/>
      <c r="X366" s="68"/>
      <c r="Y366" s="68"/>
      <c r="Z366" s="68"/>
      <c r="AA366" s="68"/>
      <c r="AB366" s="51"/>
      <c r="AC366" s="93"/>
    </row>
    <row r="367" spans="1:29" ht="57" customHeight="1" thickBot="1" x14ac:dyDescent="0.3">
      <c r="A367" s="131"/>
      <c r="B367" s="132"/>
      <c r="C367" s="330"/>
      <c r="D367" s="333"/>
      <c r="E367" s="336"/>
      <c r="F367" s="336"/>
      <c r="G367" s="339"/>
      <c r="H367" s="342"/>
      <c r="I367" s="336"/>
      <c r="J367" s="333"/>
      <c r="K367" s="39"/>
      <c r="L367" s="39"/>
      <c r="M367" s="60"/>
      <c r="N367" s="60"/>
      <c r="O367" s="88"/>
      <c r="P367" s="88"/>
      <c r="Q367" s="88"/>
      <c r="R367" s="88"/>
      <c r="S367" s="88"/>
      <c r="T367" s="88"/>
      <c r="U367" s="88"/>
      <c r="V367" s="88"/>
      <c r="W367" s="88"/>
      <c r="X367" s="69"/>
      <c r="Y367" s="69"/>
      <c r="Z367" s="69"/>
      <c r="AA367" s="69"/>
      <c r="AB367" s="52"/>
      <c r="AC367" s="94"/>
    </row>
    <row r="368" spans="1:29" ht="57" customHeight="1" thickBot="1" x14ac:dyDescent="0.3">
      <c r="A368" s="127"/>
      <c r="B368" s="138" t="s">
        <v>690</v>
      </c>
      <c r="C368" s="343" t="s">
        <v>691</v>
      </c>
      <c r="D368" s="344"/>
      <c r="E368" s="138"/>
      <c r="F368" s="138"/>
      <c r="G368" s="138"/>
      <c r="H368" s="138"/>
      <c r="I368" s="138"/>
      <c r="J368" s="138"/>
      <c r="K368" s="135"/>
      <c r="L368" s="135"/>
      <c r="M368" s="135"/>
      <c r="N368" s="135"/>
      <c r="O368" s="141"/>
      <c r="P368" s="141"/>
      <c r="Q368" s="141"/>
      <c r="R368" s="141"/>
      <c r="S368" s="141"/>
      <c r="T368" s="141"/>
      <c r="U368" s="141"/>
      <c r="V368" s="141"/>
      <c r="W368" s="141"/>
      <c r="X368" s="142"/>
      <c r="Y368" s="142"/>
      <c r="Z368" s="142"/>
      <c r="AA368" s="142"/>
      <c r="AB368" s="135"/>
      <c r="AC368" s="158"/>
    </row>
    <row r="369" spans="1:29" ht="57" customHeight="1" x14ac:dyDescent="0.25">
      <c r="A369" s="119" t="s">
        <v>692</v>
      </c>
      <c r="B369" s="128" t="s">
        <v>693</v>
      </c>
      <c r="C369" s="328" t="s">
        <v>694</v>
      </c>
      <c r="D369" s="331" t="s">
        <v>695</v>
      </c>
      <c r="E369" s="334"/>
      <c r="F369" s="334"/>
      <c r="G369" s="337" t="s">
        <v>128</v>
      </c>
      <c r="H369" s="340"/>
      <c r="I369" s="334" t="s">
        <v>696</v>
      </c>
      <c r="J369" s="331" t="s">
        <v>694</v>
      </c>
      <c r="K369" s="38"/>
      <c r="L369" s="38"/>
      <c r="M369" s="61"/>
      <c r="N369" s="61"/>
      <c r="O369" s="89"/>
      <c r="P369" s="89"/>
      <c r="Q369" s="89"/>
      <c r="R369" s="89"/>
      <c r="S369" s="89"/>
      <c r="T369" s="89"/>
      <c r="U369" s="89"/>
      <c r="V369" s="89"/>
      <c r="W369" s="89"/>
      <c r="X369" s="70"/>
      <c r="Y369" s="70"/>
      <c r="Z369" s="70"/>
      <c r="AA369" s="70"/>
      <c r="AB369" s="50"/>
      <c r="AC369" s="92"/>
    </row>
    <row r="370" spans="1:29" ht="57" customHeight="1" x14ac:dyDescent="0.25">
      <c r="A370" s="129"/>
      <c r="B370" s="130"/>
      <c r="C370" s="329"/>
      <c r="D370" s="332"/>
      <c r="E370" s="335" t="s">
        <v>697</v>
      </c>
      <c r="F370" s="335" t="s">
        <v>697</v>
      </c>
      <c r="G370" s="338"/>
      <c r="H370" s="341"/>
      <c r="I370" s="335"/>
      <c r="J370" s="332"/>
      <c r="K370" s="56"/>
      <c r="L370" s="56"/>
      <c r="M370" s="55"/>
      <c r="N370" s="55"/>
      <c r="O370" s="87"/>
      <c r="P370" s="87"/>
      <c r="Q370" s="87"/>
      <c r="R370" s="87"/>
      <c r="S370" s="87"/>
      <c r="T370" s="87"/>
      <c r="U370" s="87"/>
      <c r="V370" s="87"/>
      <c r="W370" s="87"/>
      <c r="X370" s="68"/>
      <c r="Y370" s="68"/>
      <c r="Z370" s="68"/>
      <c r="AA370" s="68"/>
      <c r="AB370" s="51"/>
      <c r="AC370" s="93"/>
    </row>
    <row r="371" spans="1:29" ht="57" customHeight="1" thickBot="1" x14ac:dyDescent="0.3">
      <c r="A371" s="131"/>
      <c r="B371" s="132"/>
      <c r="C371" s="330"/>
      <c r="D371" s="333"/>
      <c r="E371" s="336" t="s">
        <v>698</v>
      </c>
      <c r="F371" s="336" t="s">
        <v>698</v>
      </c>
      <c r="G371" s="339"/>
      <c r="H371" s="342"/>
      <c r="I371" s="336"/>
      <c r="J371" s="333"/>
      <c r="K371" s="39"/>
      <c r="L371" s="39"/>
      <c r="M371" s="60"/>
      <c r="N371" s="60"/>
      <c r="O371" s="88"/>
      <c r="P371" s="88"/>
      <c r="Q371" s="88"/>
      <c r="R371" s="88"/>
      <c r="S371" s="88"/>
      <c r="T371" s="88"/>
      <c r="U371" s="88"/>
      <c r="V371" s="88"/>
      <c r="W371" s="88"/>
      <c r="X371" s="69"/>
      <c r="Y371" s="69"/>
      <c r="Z371" s="69"/>
      <c r="AA371" s="69"/>
      <c r="AB371" s="52"/>
      <c r="AC371" s="94"/>
    </row>
    <row r="372" spans="1:29" ht="57" customHeight="1" x14ac:dyDescent="0.25">
      <c r="A372" s="119" t="s">
        <v>699</v>
      </c>
      <c r="B372" s="128" t="s">
        <v>700</v>
      </c>
      <c r="C372" s="328" t="s">
        <v>701</v>
      </c>
      <c r="D372" s="331" t="s">
        <v>702</v>
      </c>
      <c r="E372" s="334"/>
      <c r="F372" s="334"/>
      <c r="G372" s="337" t="s">
        <v>128</v>
      </c>
      <c r="H372" s="340"/>
      <c r="I372" s="334" t="s">
        <v>696</v>
      </c>
      <c r="J372" s="331" t="s">
        <v>701</v>
      </c>
      <c r="K372" s="38"/>
      <c r="L372" s="38"/>
      <c r="M372" s="61"/>
      <c r="N372" s="61"/>
      <c r="O372" s="89"/>
      <c r="P372" s="89"/>
      <c r="Q372" s="89"/>
      <c r="R372" s="89"/>
      <c r="S372" s="89"/>
      <c r="T372" s="89"/>
      <c r="U372" s="89"/>
      <c r="V372" s="89"/>
      <c r="W372" s="89"/>
      <c r="X372" s="70"/>
      <c r="Y372" s="70"/>
      <c r="Z372" s="70"/>
      <c r="AA372" s="70"/>
      <c r="AB372" s="50"/>
      <c r="AC372" s="92"/>
    </row>
    <row r="373" spans="1:29" ht="57" customHeight="1" x14ac:dyDescent="0.25">
      <c r="A373" s="129"/>
      <c r="B373" s="130"/>
      <c r="C373" s="329"/>
      <c r="D373" s="332"/>
      <c r="E373" s="335"/>
      <c r="F373" s="335"/>
      <c r="G373" s="338"/>
      <c r="H373" s="341"/>
      <c r="I373" s="335"/>
      <c r="J373" s="332"/>
      <c r="K373" s="56"/>
      <c r="L373" s="56"/>
      <c r="M373" s="55"/>
      <c r="N373" s="55"/>
      <c r="O373" s="87"/>
      <c r="P373" s="87"/>
      <c r="Q373" s="87"/>
      <c r="R373" s="87"/>
      <c r="S373" s="87"/>
      <c r="T373" s="87"/>
      <c r="U373" s="87"/>
      <c r="V373" s="87"/>
      <c r="W373" s="87"/>
      <c r="X373" s="68"/>
      <c r="Y373" s="68"/>
      <c r="Z373" s="68"/>
      <c r="AA373" s="68"/>
      <c r="AB373" s="51"/>
      <c r="AC373" s="93"/>
    </row>
    <row r="374" spans="1:29" ht="57" customHeight="1" thickBot="1" x14ac:dyDescent="0.3">
      <c r="A374" s="131"/>
      <c r="B374" s="132"/>
      <c r="C374" s="330"/>
      <c r="D374" s="333"/>
      <c r="E374" s="336"/>
      <c r="F374" s="336"/>
      <c r="G374" s="339"/>
      <c r="H374" s="342"/>
      <c r="I374" s="336"/>
      <c r="J374" s="333"/>
      <c r="K374" s="39"/>
      <c r="L374" s="39"/>
      <c r="M374" s="60"/>
      <c r="N374" s="60"/>
      <c r="O374" s="88"/>
      <c r="P374" s="88"/>
      <c r="Q374" s="88"/>
      <c r="R374" s="88"/>
      <c r="S374" s="88"/>
      <c r="T374" s="88"/>
      <c r="U374" s="88"/>
      <c r="V374" s="88"/>
      <c r="W374" s="88"/>
      <c r="X374" s="69"/>
      <c r="Y374" s="69"/>
      <c r="Z374" s="69"/>
      <c r="AA374" s="69"/>
      <c r="AB374" s="52"/>
      <c r="AC374" s="94"/>
    </row>
    <row r="375" spans="1:29" ht="57" customHeight="1" thickBot="1" x14ac:dyDescent="0.3">
      <c r="A375" s="127"/>
      <c r="B375" s="138" t="s">
        <v>703</v>
      </c>
      <c r="C375" s="343" t="s">
        <v>704</v>
      </c>
      <c r="D375" s="344"/>
      <c r="E375" s="138"/>
      <c r="F375" s="138"/>
      <c r="G375" s="138"/>
      <c r="H375" s="138"/>
      <c r="I375" s="138"/>
      <c r="J375" s="138"/>
      <c r="K375" s="135"/>
      <c r="L375" s="135"/>
      <c r="M375" s="135"/>
      <c r="N375" s="135"/>
      <c r="O375" s="141"/>
      <c r="P375" s="141"/>
      <c r="Q375" s="141"/>
      <c r="R375" s="141"/>
      <c r="S375" s="141"/>
      <c r="T375" s="141"/>
      <c r="U375" s="141"/>
      <c r="V375" s="141"/>
      <c r="W375" s="141"/>
      <c r="X375" s="142"/>
      <c r="Y375" s="142"/>
      <c r="Z375" s="142"/>
      <c r="AA375" s="142"/>
      <c r="AB375" s="135"/>
      <c r="AC375" s="54"/>
    </row>
    <row r="376" spans="1:29" ht="57" customHeight="1" x14ac:dyDescent="0.25">
      <c r="A376" s="119" t="s">
        <v>705</v>
      </c>
      <c r="B376" s="128" t="s">
        <v>706</v>
      </c>
      <c r="C376" s="328" t="s">
        <v>707</v>
      </c>
      <c r="D376" s="331" t="s">
        <v>708</v>
      </c>
      <c r="E376" s="334"/>
      <c r="F376" s="334"/>
      <c r="G376" s="337" t="s">
        <v>128</v>
      </c>
      <c r="H376" s="340"/>
      <c r="I376" s="334" t="s">
        <v>709</v>
      </c>
      <c r="J376" s="331" t="s">
        <v>710</v>
      </c>
      <c r="K376" s="38"/>
      <c r="L376" s="38"/>
      <c r="M376" s="61"/>
      <c r="N376" s="61"/>
      <c r="O376" s="89"/>
      <c r="P376" s="89"/>
      <c r="Q376" s="89"/>
      <c r="R376" s="89"/>
      <c r="S376" s="89"/>
      <c r="T376" s="89"/>
      <c r="U376" s="89"/>
      <c r="V376" s="89"/>
      <c r="W376" s="89"/>
      <c r="X376" s="70"/>
      <c r="Y376" s="70"/>
      <c r="Z376" s="70"/>
      <c r="AA376" s="70"/>
      <c r="AB376" s="50"/>
      <c r="AC376" s="92"/>
    </row>
    <row r="377" spans="1:29" ht="57" customHeight="1" x14ac:dyDescent="0.25">
      <c r="A377" s="129"/>
      <c r="B377" s="130"/>
      <c r="C377" s="329"/>
      <c r="D377" s="332"/>
      <c r="E377" s="335"/>
      <c r="F377" s="335"/>
      <c r="G377" s="338"/>
      <c r="H377" s="341"/>
      <c r="I377" s="335"/>
      <c r="J377" s="332"/>
      <c r="K377" s="56"/>
      <c r="L377" s="56"/>
      <c r="M377" s="55"/>
      <c r="N377" s="55"/>
      <c r="O377" s="87"/>
      <c r="P377" s="87"/>
      <c r="Q377" s="87"/>
      <c r="R377" s="87"/>
      <c r="S377" s="87"/>
      <c r="T377" s="87"/>
      <c r="U377" s="87"/>
      <c r="V377" s="87"/>
      <c r="W377" s="87"/>
      <c r="X377" s="68"/>
      <c r="Y377" s="68"/>
      <c r="Z377" s="68"/>
      <c r="AA377" s="68"/>
      <c r="AB377" s="51"/>
      <c r="AC377" s="93"/>
    </row>
    <row r="378" spans="1:29" ht="57" customHeight="1" thickBot="1" x14ac:dyDescent="0.3">
      <c r="A378" s="131"/>
      <c r="B378" s="132"/>
      <c r="C378" s="330"/>
      <c r="D378" s="333"/>
      <c r="E378" s="336"/>
      <c r="F378" s="336"/>
      <c r="G378" s="339"/>
      <c r="H378" s="342"/>
      <c r="I378" s="336"/>
      <c r="J378" s="333"/>
      <c r="K378" s="39"/>
      <c r="L378" s="39"/>
      <c r="M378" s="60"/>
      <c r="N378" s="60"/>
      <c r="O378" s="88"/>
      <c r="P378" s="88"/>
      <c r="Q378" s="88"/>
      <c r="R378" s="88"/>
      <c r="S378" s="88"/>
      <c r="T378" s="88"/>
      <c r="U378" s="88"/>
      <c r="V378" s="88"/>
      <c r="W378" s="88"/>
      <c r="X378" s="69"/>
      <c r="Y378" s="69"/>
      <c r="Z378" s="69"/>
      <c r="AA378" s="69"/>
      <c r="AB378" s="52"/>
      <c r="AC378" s="94"/>
    </row>
    <row r="379" spans="1:29" ht="57" customHeight="1" x14ac:dyDescent="0.25">
      <c r="A379" s="119" t="s">
        <v>711</v>
      </c>
      <c r="B379" s="128" t="s">
        <v>712</v>
      </c>
      <c r="C379" s="328" t="s">
        <v>713</v>
      </c>
      <c r="D379" s="331" t="s">
        <v>714</v>
      </c>
      <c r="E379" s="334"/>
      <c r="F379" s="334"/>
      <c r="G379" s="337" t="s">
        <v>128</v>
      </c>
      <c r="H379" s="340"/>
      <c r="I379" s="334" t="s">
        <v>715</v>
      </c>
      <c r="J379" s="331" t="s">
        <v>716</v>
      </c>
      <c r="K379" s="38"/>
      <c r="L379" s="38"/>
      <c r="M379" s="61"/>
      <c r="N379" s="61"/>
      <c r="O379" s="89"/>
      <c r="P379" s="89"/>
      <c r="Q379" s="89"/>
      <c r="R379" s="89"/>
      <c r="S379" s="89"/>
      <c r="T379" s="89"/>
      <c r="U379" s="89"/>
      <c r="V379" s="89"/>
      <c r="W379" s="89"/>
      <c r="X379" s="70"/>
      <c r="Y379" s="70"/>
      <c r="Z379" s="70"/>
      <c r="AA379" s="70"/>
      <c r="AB379" s="50"/>
      <c r="AC379" s="92"/>
    </row>
    <row r="380" spans="1:29" ht="57" customHeight="1" x14ac:dyDescent="0.25">
      <c r="A380" s="129"/>
      <c r="B380" s="130"/>
      <c r="C380" s="329"/>
      <c r="D380" s="332"/>
      <c r="E380" s="335"/>
      <c r="F380" s="335"/>
      <c r="G380" s="338"/>
      <c r="H380" s="341"/>
      <c r="I380" s="335"/>
      <c r="J380" s="332"/>
      <c r="K380" s="56"/>
      <c r="L380" s="56"/>
      <c r="M380" s="55"/>
      <c r="N380" s="55"/>
      <c r="O380" s="87"/>
      <c r="P380" s="87"/>
      <c r="Q380" s="87"/>
      <c r="R380" s="87"/>
      <c r="S380" s="87"/>
      <c r="T380" s="87"/>
      <c r="U380" s="87"/>
      <c r="V380" s="87"/>
      <c r="W380" s="87"/>
      <c r="X380" s="68"/>
      <c r="Y380" s="68"/>
      <c r="Z380" s="68"/>
      <c r="AA380" s="68"/>
      <c r="AB380" s="51"/>
      <c r="AC380" s="93"/>
    </row>
    <row r="381" spans="1:29" ht="57" customHeight="1" thickBot="1" x14ac:dyDescent="0.3">
      <c r="A381" s="131"/>
      <c r="B381" s="132"/>
      <c r="C381" s="330"/>
      <c r="D381" s="333"/>
      <c r="E381" s="336"/>
      <c r="F381" s="336"/>
      <c r="G381" s="339"/>
      <c r="H381" s="342"/>
      <c r="I381" s="336"/>
      <c r="J381" s="333"/>
      <c r="K381" s="39"/>
      <c r="L381" s="39"/>
      <c r="M381" s="60"/>
      <c r="N381" s="60"/>
      <c r="O381" s="88"/>
      <c r="P381" s="88"/>
      <c r="Q381" s="88"/>
      <c r="R381" s="88"/>
      <c r="S381" s="88"/>
      <c r="T381" s="88"/>
      <c r="U381" s="88"/>
      <c r="V381" s="88"/>
      <c r="W381" s="88"/>
      <c r="X381" s="69"/>
      <c r="Y381" s="69"/>
      <c r="Z381" s="69"/>
      <c r="AA381" s="69"/>
      <c r="AB381" s="52"/>
      <c r="AC381" s="94"/>
    </row>
    <row r="382" spans="1:29" ht="57" customHeight="1" thickBot="1" x14ac:dyDescent="0.3">
      <c r="A382" s="127"/>
      <c r="B382" s="138" t="s">
        <v>717</v>
      </c>
      <c r="C382" s="343" t="s">
        <v>718</v>
      </c>
      <c r="D382" s="344"/>
      <c r="E382" s="138"/>
      <c r="F382" s="138"/>
      <c r="G382" s="138"/>
      <c r="H382" s="138"/>
      <c r="I382" s="138"/>
      <c r="J382" s="138"/>
      <c r="K382" s="135"/>
      <c r="L382" s="135"/>
      <c r="M382" s="135"/>
      <c r="N382" s="135"/>
      <c r="O382" s="141"/>
      <c r="P382" s="141"/>
      <c r="Q382" s="141"/>
      <c r="R382" s="141"/>
      <c r="S382" s="141"/>
      <c r="T382" s="141"/>
      <c r="U382" s="141"/>
      <c r="V382" s="141"/>
      <c r="W382" s="141"/>
      <c r="X382" s="142"/>
      <c r="Y382" s="142"/>
      <c r="Z382" s="142"/>
      <c r="AA382" s="142"/>
      <c r="AB382" s="135"/>
      <c r="AC382" s="54"/>
    </row>
    <row r="383" spans="1:29" ht="57" customHeight="1" x14ac:dyDescent="0.25">
      <c r="A383" s="119" t="s">
        <v>719</v>
      </c>
      <c r="B383" s="128" t="s">
        <v>720</v>
      </c>
      <c r="C383" s="328" t="s">
        <v>721</v>
      </c>
      <c r="D383" s="331" t="s">
        <v>722</v>
      </c>
      <c r="E383" s="334"/>
      <c r="F383" s="334"/>
      <c r="G383" s="337" t="s">
        <v>128</v>
      </c>
      <c r="H383" s="340"/>
      <c r="I383" s="334"/>
      <c r="J383" s="331" t="s">
        <v>721</v>
      </c>
      <c r="K383" s="38"/>
      <c r="L383" s="38"/>
      <c r="M383" s="61"/>
      <c r="N383" s="61"/>
      <c r="O383" s="89"/>
      <c r="P383" s="89"/>
      <c r="Q383" s="89"/>
      <c r="R383" s="89"/>
      <c r="S383" s="89"/>
      <c r="T383" s="89"/>
      <c r="U383" s="89"/>
      <c r="V383" s="89"/>
      <c r="W383" s="89"/>
      <c r="X383" s="70"/>
      <c r="Y383" s="70"/>
      <c r="Z383" s="70"/>
      <c r="AA383" s="70"/>
      <c r="AB383" s="50"/>
      <c r="AC383" s="92"/>
    </row>
    <row r="384" spans="1:29" ht="57" customHeight="1" x14ac:dyDescent="0.25">
      <c r="A384" s="129"/>
      <c r="B384" s="130"/>
      <c r="C384" s="329"/>
      <c r="D384" s="332"/>
      <c r="E384" s="335"/>
      <c r="F384" s="335"/>
      <c r="G384" s="338"/>
      <c r="H384" s="341"/>
      <c r="I384" s="335"/>
      <c r="J384" s="332"/>
      <c r="K384" s="56"/>
      <c r="L384" s="56"/>
      <c r="M384" s="55"/>
      <c r="N384" s="55"/>
      <c r="O384" s="87"/>
      <c r="P384" s="87"/>
      <c r="Q384" s="87"/>
      <c r="R384" s="87"/>
      <c r="S384" s="87"/>
      <c r="T384" s="87"/>
      <c r="U384" s="87"/>
      <c r="V384" s="87"/>
      <c r="W384" s="87"/>
      <c r="X384" s="68"/>
      <c r="Y384" s="68"/>
      <c r="Z384" s="68"/>
      <c r="AA384" s="68"/>
      <c r="AB384" s="51"/>
      <c r="AC384" s="93"/>
    </row>
    <row r="385" spans="1:29" ht="57" customHeight="1" thickBot="1" x14ac:dyDescent="0.3">
      <c r="A385" s="131"/>
      <c r="B385" s="132"/>
      <c r="C385" s="330"/>
      <c r="D385" s="333"/>
      <c r="E385" s="336"/>
      <c r="F385" s="336"/>
      <c r="G385" s="339"/>
      <c r="H385" s="342"/>
      <c r="I385" s="336"/>
      <c r="J385" s="333"/>
      <c r="K385" s="39"/>
      <c r="L385" s="39"/>
      <c r="M385" s="60"/>
      <c r="N385" s="60"/>
      <c r="O385" s="88"/>
      <c r="P385" s="88"/>
      <c r="Q385" s="88"/>
      <c r="R385" s="88"/>
      <c r="S385" s="88"/>
      <c r="T385" s="88"/>
      <c r="U385" s="88"/>
      <c r="V385" s="88"/>
      <c r="W385" s="88"/>
      <c r="X385" s="69"/>
      <c r="Y385" s="69"/>
      <c r="Z385" s="69"/>
      <c r="AA385" s="69"/>
      <c r="AB385" s="52"/>
      <c r="AC385" s="94"/>
    </row>
    <row r="386" spans="1:29" ht="57" customHeight="1" x14ac:dyDescent="0.25">
      <c r="A386" s="119" t="s">
        <v>723</v>
      </c>
      <c r="B386" s="128" t="s">
        <v>724</v>
      </c>
      <c r="C386" s="328" t="s">
        <v>725</v>
      </c>
      <c r="D386" s="331" t="s">
        <v>726</v>
      </c>
      <c r="E386" s="334"/>
      <c r="F386" s="334"/>
      <c r="G386" s="337" t="s">
        <v>128</v>
      </c>
      <c r="H386" s="340"/>
      <c r="I386" s="334"/>
      <c r="J386" s="331" t="s">
        <v>725</v>
      </c>
      <c r="K386" s="38"/>
      <c r="L386" s="38"/>
      <c r="M386" s="61"/>
      <c r="N386" s="61"/>
      <c r="O386" s="89"/>
      <c r="P386" s="89"/>
      <c r="Q386" s="89"/>
      <c r="R386" s="89"/>
      <c r="S386" s="89"/>
      <c r="T386" s="89"/>
      <c r="U386" s="89"/>
      <c r="V386" s="89"/>
      <c r="W386" s="89"/>
      <c r="X386" s="70"/>
      <c r="Y386" s="70"/>
      <c r="Z386" s="70"/>
      <c r="AA386" s="70"/>
      <c r="AB386" s="50"/>
      <c r="AC386" s="92"/>
    </row>
    <row r="387" spans="1:29" ht="57" customHeight="1" x14ac:dyDescent="0.25">
      <c r="A387" s="129"/>
      <c r="B387" s="130"/>
      <c r="C387" s="329"/>
      <c r="D387" s="332"/>
      <c r="E387" s="335"/>
      <c r="F387" s="335"/>
      <c r="G387" s="338"/>
      <c r="H387" s="341"/>
      <c r="I387" s="335"/>
      <c r="J387" s="332"/>
      <c r="K387" s="56"/>
      <c r="L387" s="56"/>
      <c r="M387" s="55"/>
      <c r="N387" s="55"/>
      <c r="O387" s="87"/>
      <c r="P387" s="87"/>
      <c r="Q387" s="87"/>
      <c r="R387" s="87"/>
      <c r="S387" s="87"/>
      <c r="T387" s="87"/>
      <c r="U387" s="87"/>
      <c r="V387" s="87"/>
      <c r="W387" s="87"/>
      <c r="X387" s="68"/>
      <c r="Y387" s="68"/>
      <c r="Z387" s="68"/>
      <c r="AA387" s="68"/>
      <c r="AB387" s="51"/>
      <c r="AC387" s="93"/>
    </row>
    <row r="388" spans="1:29" ht="57" customHeight="1" thickBot="1" x14ac:dyDescent="0.3">
      <c r="A388" s="131"/>
      <c r="B388" s="132"/>
      <c r="C388" s="330"/>
      <c r="D388" s="333"/>
      <c r="E388" s="336"/>
      <c r="F388" s="336"/>
      <c r="G388" s="339"/>
      <c r="H388" s="342"/>
      <c r="I388" s="336"/>
      <c r="J388" s="333"/>
      <c r="K388" s="39"/>
      <c r="L388" s="39"/>
      <c r="M388" s="60"/>
      <c r="N388" s="60"/>
      <c r="O388" s="88"/>
      <c r="P388" s="88"/>
      <c r="Q388" s="88"/>
      <c r="R388" s="88"/>
      <c r="S388" s="88"/>
      <c r="T388" s="88"/>
      <c r="U388" s="88"/>
      <c r="V388" s="88"/>
      <c r="W388" s="88"/>
      <c r="X388" s="69"/>
      <c r="Y388" s="69"/>
      <c r="Z388" s="69"/>
      <c r="AA388" s="69"/>
      <c r="AB388" s="52"/>
      <c r="AC388" s="94"/>
    </row>
    <row r="389" spans="1:29" ht="57" customHeight="1" x14ac:dyDescent="0.25">
      <c r="A389" s="119" t="s">
        <v>727</v>
      </c>
      <c r="B389" s="128" t="s">
        <v>728</v>
      </c>
      <c r="C389" s="328" t="s">
        <v>729</v>
      </c>
      <c r="D389" s="331" t="s">
        <v>726</v>
      </c>
      <c r="E389" s="334"/>
      <c r="F389" s="334"/>
      <c r="G389" s="337" t="s">
        <v>128</v>
      </c>
      <c r="H389" s="340"/>
      <c r="I389" s="334"/>
      <c r="J389" s="331" t="s">
        <v>729</v>
      </c>
      <c r="K389" s="38"/>
      <c r="L389" s="38"/>
      <c r="M389" s="61"/>
      <c r="N389" s="61"/>
      <c r="O389" s="89"/>
      <c r="P389" s="89"/>
      <c r="Q389" s="89"/>
      <c r="R389" s="89"/>
      <c r="S389" s="89"/>
      <c r="T389" s="89"/>
      <c r="U389" s="89"/>
      <c r="V389" s="89"/>
      <c r="W389" s="89"/>
      <c r="X389" s="70"/>
      <c r="Y389" s="70"/>
      <c r="Z389" s="70"/>
      <c r="AA389" s="70"/>
      <c r="AB389" s="50"/>
      <c r="AC389" s="92"/>
    </row>
    <row r="390" spans="1:29" ht="57" customHeight="1" x14ac:dyDescent="0.25">
      <c r="A390" s="129"/>
      <c r="B390" s="130"/>
      <c r="C390" s="329"/>
      <c r="D390" s="332"/>
      <c r="E390" s="335"/>
      <c r="F390" s="335"/>
      <c r="G390" s="338"/>
      <c r="H390" s="341"/>
      <c r="I390" s="335"/>
      <c r="J390" s="332"/>
      <c r="K390" s="56"/>
      <c r="L390" s="56"/>
      <c r="M390" s="55"/>
      <c r="N390" s="55"/>
      <c r="O390" s="87"/>
      <c r="P390" s="87"/>
      <c r="Q390" s="87"/>
      <c r="R390" s="87"/>
      <c r="S390" s="87"/>
      <c r="T390" s="87"/>
      <c r="U390" s="87"/>
      <c r="V390" s="87"/>
      <c r="W390" s="87"/>
      <c r="X390" s="68"/>
      <c r="Y390" s="68"/>
      <c r="Z390" s="68"/>
      <c r="AA390" s="68"/>
      <c r="AB390" s="51"/>
      <c r="AC390" s="93"/>
    </row>
    <row r="391" spans="1:29" ht="57" customHeight="1" thickBot="1" x14ac:dyDescent="0.3">
      <c r="A391" s="131"/>
      <c r="B391" s="132"/>
      <c r="C391" s="330"/>
      <c r="D391" s="333"/>
      <c r="E391" s="336"/>
      <c r="F391" s="336"/>
      <c r="G391" s="339"/>
      <c r="H391" s="342"/>
      <c r="I391" s="336"/>
      <c r="J391" s="333"/>
      <c r="K391" s="39"/>
      <c r="L391" s="39"/>
      <c r="M391" s="60"/>
      <c r="N391" s="60"/>
      <c r="O391" s="88"/>
      <c r="P391" s="88"/>
      <c r="Q391" s="88"/>
      <c r="R391" s="88"/>
      <c r="S391" s="88"/>
      <c r="T391" s="88"/>
      <c r="U391" s="88"/>
      <c r="V391" s="88"/>
      <c r="W391" s="88"/>
      <c r="X391" s="69"/>
      <c r="Y391" s="69"/>
      <c r="Z391" s="69"/>
      <c r="AA391" s="69"/>
      <c r="AB391" s="52"/>
      <c r="AC391" s="94"/>
    </row>
    <row r="392" spans="1:29" ht="57" customHeight="1" thickBot="1" x14ac:dyDescent="0.3">
      <c r="A392" s="127"/>
      <c r="B392" s="138" t="s">
        <v>730</v>
      </c>
      <c r="C392" s="343" t="s">
        <v>731</v>
      </c>
      <c r="D392" s="344"/>
      <c r="E392" s="138"/>
      <c r="F392" s="159"/>
      <c r="G392" s="159"/>
      <c r="H392" s="159"/>
      <c r="I392" s="159"/>
      <c r="J392" s="159"/>
      <c r="K392" s="160"/>
      <c r="L392" s="160"/>
      <c r="M392" s="160"/>
      <c r="N392" s="160"/>
      <c r="O392" s="141"/>
      <c r="P392" s="141"/>
      <c r="Q392" s="141"/>
      <c r="R392" s="141"/>
      <c r="S392" s="141"/>
      <c r="T392" s="141"/>
      <c r="U392" s="141"/>
      <c r="V392" s="141"/>
      <c r="W392" s="141"/>
      <c r="X392" s="142"/>
      <c r="Y392" s="142"/>
      <c r="Z392" s="142"/>
      <c r="AA392" s="142"/>
      <c r="AB392" s="160"/>
      <c r="AC392" s="161"/>
    </row>
    <row r="393" spans="1:29" ht="57" customHeight="1" x14ac:dyDescent="0.25">
      <c r="A393" s="119" t="s">
        <v>732</v>
      </c>
      <c r="B393" s="128" t="s">
        <v>733</v>
      </c>
      <c r="C393" s="328" t="s">
        <v>734</v>
      </c>
      <c r="D393" s="331" t="s">
        <v>735</v>
      </c>
      <c r="E393" s="334"/>
      <c r="F393" s="334"/>
      <c r="G393" s="337" t="s">
        <v>128</v>
      </c>
      <c r="H393" s="340"/>
      <c r="I393" s="334" t="s">
        <v>736</v>
      </c>
      <c r="J393" s="331" t="s">
        <v>737</v>
      </c>
      <c r="K393" s="38"/>
      <c r="L393" s="38"/>
      <c r="M393" s="61"/>
      <c r="N393" s="61"/>
      <c r="O393" s="89"/>
      <c r="P393" s="89"/>
      <c r="Q393" s="89"/>
      <c r="R393" s="89"/>
      <c r="S393" s="89"/>
      <c r="T393" s="89"/>
      <c r="U393" s="89"/>
      <c r="V393" s="89"/>
      <c r="W393" s="89"/>
      <c r="X393" s="70"/>
      <c r="Y393" s="70"/>
      <c r="Z393" s="70"/>
      <c r="AA393" s="70"/>
      <c r="AB393" s="50"/>
      <c r="AC393" s="92"/>
    </row>
    <row r="394" spans="1:29" ht="57" customHeight="1" x14ac:dyDescent="0.25">
      <c r="A394" s="129"/>
      <c r="B394" s="130"/>
      <c r="C394" s="329"/>
      <c r="D394" s="332"/>
      <c r="E394" s="335"/>
      <c r="F394" s="335"/>
      <c r="G394" s="338"/>
      <c r="H394" s="341"/>
      <c r="I394" s="335"/>
      <c r="J394" s="332"/>
      <c r="K394" s="56"/>
      <c r="L394" s="56"/>
      <c r="M394" s="55"/>
      <c r="N394" s="55"/>
      <c r="O394" s="87"/>
      <c r="P394" s="87"/>
      <c r="Q394" s="87"/>
      <c r="R394" s="87"/>
      <c r="S394" s="87"/>
      <c r="T394" s="87"/>
      <c r="U394" s="87"/>
      <c r="V394" s="87"/>
      <c r="W394" s="87"/>
      <c r="X394" s="68"/>
      <c r="Y394" s="68"/>
      <c r="Z394" s="68"/>
      <c r="AA394" s="68"/>
      <c r="AB394" s="51"/>
      <c r="AC394" s="93"/>
    </row>
    <row r="395" spans="1:29" ht="57" customHeight="1" thickBot="1" x14ac:dyDescent="0.3">
      <c r="A395" s="131"/>
      <c r="B395" s="132"/>
      <c r="C395" s="330"/>
      <c r="D395" s="333"/>
      <c r="E395" s="336"/>
      <c r="F395" s="336"/>
      <c r="G395" s="339"/>
      <c r="H395" s="342"/>
      <c r="I395" s="336"/>
      <c r="J395" s="333"/>
      <c r="K395" s="39"/>
      <c r="L395" s="39"/>
      <c r="M395" s="60"/>
      <c r="N395" s="60"/>
      <c r="O395" s="88"/>
      <c r="P395" s="88"/>
      <c r="Q395" s="88"/>
      <c r="R395" s="88"/>
      <c r="S395" s="88"/>
      <c r="T395" s="88"/>
      <c r="U395" s="88"/>
      <c r="V395" s="88"/>
      <c r="W395" s="88"/>
      <c r="X395" s="69"/>
      <c r="Y395" s="69"/>
      <c r="Z395" s="69"/>
      <c r="AA395" s="69"/>
      <c r="AB395" s="52"/>
      <c r="AC395" s="94"/>
    </row>
    <row r="396" spans="1:29" ht="57" customHeight="1" x14ac:dyDescent="0.25">
      <c r="A396" s="119" t="s">
        <v>738</v>
      </c>
      <c r="B396" s="128" t="s">
        <v>739</v>
      </c>
      <c r="C396" s="328" t="s">
        <v>740</v>
      </c>
      <c r="D396" s="331" t="s">
        <v>741</v>
      </c>
      <c r="E396" s="334"/>
      <c r="F396" s="334"/>
      <c r="G396" s="337" t="s">
        <v>128</v>
      </c>
      <c r="H396" s="340"/>
      <c r="I396" s="334" t="s">
        <v>613</v>
      </c>
      <c r="J396" s="331" t="s">
        <v>742</v>
      </c>
      <c r="K396" s="38"/>
      <c r="L396" s="38"/>
      <c r="M396" s="61"/>
      <c r="N396" s="61"/>
      <c r="O396" s="89"/>
      <c r="P396" s="89"/>
      <c r="Q396" s="89"/>
      <c r="R396" s="89"/>
      <c r="S396" s="89"/>
      <c r="T396" s="89"/>
      <c r="U396" s="89"/>
      <c r="V396" s="89"/>
      <c r="W396" s="89"/>
      <c r="X396" s="70"/>
      <c r="Y396" s="70"/>
      <c r="Z396" s="70"/>
      <c r="AA396" s="70"/>
      <c r="AB396" s="50"/>
      <c r="AC396" s="92"/>
    </row>
    <row r="397" spans="1:29" ht="57" customHeight="1" x14ac:dyDescent="0.25">
      <c r="A397" s="129"/>
      <c r="B397" s="130"/>
      <c r="C397" s="329"/>
      <c r="D397" s="332"/>
      <c r="E397" s="335"/>
      <c r="F397" s="335"/>
      <c r="G397" s="338"/>
      <c r="H397" s="341"/>
      <c r="I397" s="335"/>
      <c r="J397" s="332"/>
      <c r="K397" s="56"/>
      <c r="L397" s="56"/>
      <c r="M397" s="55"/>
      <c r="N397" s="55"/>
      <c r="O397" s="87"/>
      <c r="P397" s="87"/>
      <c r="Q397" s="87"/>
      <c r="R397" s="87"/>
      <c r="S397" s="87"/>
      <c r="T397" s="87"/>
      <c r="U397" s="87"/>
      <c r="V397" s="87"/>
      <c r="W397" s="87"/>
      <c r="X397" s="68"/>
      <c r="Y397" s="68"/>
      <c r="Z397" s="68"/>
      <c r="AA397" s="68"/>
      <c r="AB397" s="51"/>
      <c r="AC397" s="93"/>
    </row>
    <row r="398" spans="1:29" ht="57" customHeight="1" thickBot="1" x14ac:dyDescent="0.3">
      <c r="A398" s="131"/>
      <c r="B398" s="132"/>
      <c r="C398" s="330"/>
      <c r="D398" s="333"/>
      <c r="E398" s="336"/>
      <c r="F398" s="336"/>
      <c r="G398" s="339"/>
      <c r="H398" s="342"/>
      <c r="I398" s="336"/>
      <c r="J398" s="333"/>
      <c r="K398" s="39"/>
      <c r="L398" s="39"/>
      <c r="M398" s="60"/>
      <c r="N398" s="60"/>
      <c r="O398" s="88"/>
      <c r="P398" s="88"/>
      <c r="Q398" s="88"/>
      <c r="R398" s="88"/>
      <c r="S398" s="88"/>
      <c r="T398" s="88"/>
      <c r="U398" s="88"/>
      <c r="V398" s="88"/>
      <c r="W398" s="88"/>
      <c r="X398" s="69"/>
      <c r="Y398" s="69"/>
      <c r="Z398" s="69"/>
      <c r="AA398" s="69"/>
      <c r="AB398" s="52"/>
      <c r="AC398" s="94"/>
    </row>
    <row r="399" spans="1:29" ht="57" customHeight="1" x14ac:dyDescent="0.25">
      <c r="A399" s="119" t="s">
        <v>743</v>
      </c>
      <c r="B399" s="128" t="s">
        <v>744</v>
      </c>
      <c r="C399" s="328" t="s">
        <v>745</v>
      </c>
      <c r="D399" s="331" t="s">
        <v>667</v>
      </c>
      <c r="E399" s="334"/>
      <c r="F399" s="334"/>
      <c r="G399" s="337" t="s">
        <v>128</v>
      </c>
      <c r="H399" s="340"/>
      <c r="I399" s="334" t="s">
        <v>613</v>
      </c>
      <c r="J399" s="331" t="s">
        <v>746</v>
      </c>
      <c r="K399" s="38"/>
      <c r="L399" s="38"/>
      <c r="M399" s="61"/>
      <c r="N399" s="61"/>
      <c r="O399" s="89"/>
      <c r="P399" s="89"/>
      <c r="Q399" s="89"/>
      <c r="R399" s="89"/>
      <c r="S399" s="89"/>
      <c r="T399" s="89"/>
      <c r="U399" s="89"/>
      <c r="V399" s="89"/>
      <c r="W399" s="89"/>
      <c r="X399" s="70"/>
      <c r="Y399" s="70"/>
      <c r="Z399" s="70"/>
      <c r="AA399" s="70"/>
      <c r="AB399" s="50"/>
      <c r="AC399" s="92"/>
    </row>
    <row r="400" spans="1:29" ht="57" customHeight="1" x14ac:dyDescent="0.25">
      <c r="A400" s="129"/>
      <c r="B400" s="130"/>
      <c r="C400" s="329"/>
      <c r="D400" s="332"/>
      <c r="E400" s="335"/>
      <c r="F400" s="335"/>
      <c r="G400" s="338"/>
      <c r="H400" s="341"/>
      <c r="I400" s="335"/>
      <c r="J400" s="332"/>
      <c r="K400" s="56"/>
      <c r="L400" s="56"/>
      <c r="M400" s="55"/>
      <c r="N400" s="55"/>
      <c r="O400" s="87"/>
      <c r="P400" s="87"/>
      <c r="Q400" s="87"/>
      <c r="R400" s="87"/>
      <c r="S400" s="87"/>
      <c r="T400" s="87"/>
      <c r="U400" s="87"/>
      <c r="V400" s="87"/>
      <c r="W400" s="87"/>
      <c r="X400" s="68"/>
      <c r="Y400" s="68"/>
      <c r="Z400" s="68"/>
      <c r="AA400" s="68"/>
      <c r="AB400" s="51"/>
      <c r="AC400" s="93"/>
    </row>
    <row r="401" spans="1:29" ht="57" customHeight="1" thickBot="1" x14ac:dyDescent="0.3">
      <c r="A401" s="131"/>
      <c r="B401" s="132"/>
      <c r="C401" s="330"/>
      <c r="D401" s="333"/>
      <c r="E401" s="336"/>
      <c r="F401" s="336"/>
      <c r="G401" s="339"/>
      <c r="H401" s="342"/>
      <c r="I401" s="336"/>
      <c r="J401" s="333"/>
      <c r="K401" s="39"/>
      <c r="L401" s="39"/>
      <c r="M401" s="60"/>
      <c r="N401" s="60"/>
      <c r="O401" s="88"/>
      <c r="P401" s="88"/>
      <c r="Q401" s="88"/>
      <c r="R401" s="88"/>
      <c r="S401" s="88"/>
      <c r="T401" s="88"/>
      <c r="U401" s="88"/>
      <c r="V401" s="88"/>
      <c r="W401" s="88"/>
      <c r="X401" s="69"/>
      <c r="Y401" s="69"/>
      <c r="Z401" s="69"/>
      <c r="AA401" s="69"/>
      <c r="AB401" s="52"/>
      <c r="AC401" s="94"/>
    </row>
    <row r="402" spans="1:29" ht="57" customHeight="1" thickBot="1" x14ac:dyDescent="0.3">
      <c r="A402" s="127"/>
      <c r="B402" s="138" t="s">
        <v>747</v>
      </c>
      <c r="C402" s="343" t="s">
        <v>748</v>
      </c>
      <c r="D402" s="344"/>
      <c r="E402" s="138"/>
      <c r="F402" s="138"/>
      <c r="G402" s="138"/>
      <c r="H402" s="138"/>
      <c r="I402" s="138"/>
      <c r="J402" s="138"/>
      <c r="K402" s="135"/>
      <c r="L402" s="135"/>
      <c r="M402" s="135"/>
      <c r="N402" s="135"/>
      <c r="O402" s="141"/>
      <c r="P402" s="141"/>
      <c r="Q402" s="141"/>
      <c r="R402" s="141"/>
      <c r="S402" s="141"/>
      <c r="T402" s="141"/>
      <c r="U402" s="141"/>
      <c r="V402" s="141"/>
      <c r="W402" s="141"/>
      <c r="X402" s="142"/>
      <c r="Y402" s="142"/>
      <c r="Z402" s="142"/>
      <c r="AA402" s="142"/>
      <c r="AB402" s="135"/>
      <c r="AC402" s="54"/>
    </row>
    <row r="403" spans="1:29" ht="57" customHeight="1" x14ac:dyDescent="0.25">
      <c r="A403" s="119" t="s">
        <v>749</v>
      </c>
      <c r="B403" s="128" t="s">
        <v>750</v>
      </c>
      <c r="C403" s="328" t="s">
        <v>751</v>
      </c>
      <c r="D403" s="331" t="s">
        <v>632</v>
      </c>
      <c r="E403" s="334"/>
      <c r="F403" s="334"/>
      <c r="G403" s="337" t="s">
        <v>128</v>
      </c>
      <c r="H403" s="340"/>
      <c r="I403" s="334"/>
      <c r="J403" s="331" t="s">
        <v>752</v>
      </c>
      <c r="K403" s="38"/>
      <c r="L403" s="38"/>
      <c r="M403" s="61"/>
      <c r="N403" s="61"/>
      <c r="O403" s="89"/>
      <c r="P403" s="89"/>
      <c r="Q403" s="89"/>
      <c r="R403" s="89"/>
      <c r="S403" s="89"/>
      <c r="T403" s="89"/>
      <c r="U403" s="89"/>
      <c r="V403" s="89"/>
      <c r="W403" s="89"/>
      <c r="X403" s="70"/>
      <c r="Y403" s="70"/>
      <c r="Z403" s="70"/>
      <c r="AA403" s="70"/>
      <c r="AB403" s="50"/>
      <c r="AC403" s="92"/>
    </row>
    <row r="404" spans="1:29" ht="57" customHeight="1" x14ac:dyDescent="0.25">
      <c r="A404" s="129"/>
      <c r="B404" s="130"/>
      <c r="C404" s="329"/>
      <c r="D404" s="332"/>
      <c r="E404" s="335"/>
      <c r="F404" s="335"/>
      <c r="G404" s="338"/>
      <c r="H404" s="341"/>
      <c r="I404" s="335"/>
      <c r="J404" s="332"/>
      <c r="K404" s="56"/>
      <c r="L404" s="56"/>
      <c r="M404" s="55"/>
      <c r="N404" s="55"/>
      <c r="O404" s="87"/>
      <c r="P404" s="87"/>
      <c r="Q404" s="87"/>
      <c r="R404" s="87"/>
      <c r="S404" s="87"/>
      <c r="T404" s="87"/>
      <c r="U404" s="87"/>
      <c r="V404" s="87"/>
      <c r="W404" s="87"/>
      <c r="X404" s="68"/>
      <c r="Y404" s="68"/>
      <c r="Z404" s="68"/>
      <c r="AA404" s="68"/>
      <c r="AB404" s="51"/>
      <c r="AC404" s="93"/>
    </row>
    <row r="405" spans="1:29" ht="57" customHeight="1" thickBot="1" x14ac:dyDescent="0.3">
      <c r="A405" s="131"/>
      <c r="B405" s="132"/>
      <c r="C405" s="330"/>
      <c r="D405" s="333"/>
      <c r="E405" s="336"/>
      <c r="F405" s="336"/>
      <c r="G405" s="339"/>
      <c r="H405" s="342"/>
      <c r="I405" s="336"/>
      <c r="J405" s="333"/>
      <c r="K405" s="39"/>
      <c r="L405" s="39"/>
      <c r="M405" s="60"/>
      <c r="N405" s="60"/>
      <c r="O405" s="88"/>
      <c r="P405" s="88"/>
      <c r="Q405" s="88"/>
      <c r="R405" s="88"/>
      <c r="S405" s="88"/>
      <c r="T405" s="88"/>
      <c r="U405" s="88"/>
      <c r="V405" s="88"/>
      <c r="W405" s="88"/>
      <c r="X405" s="69"/>
      <c r="Y405" s="69"/>
      <c r="Z405" s="69"/>
      <c r="AA405" s="69"/>
      <c r="AB405" s="52"/>
      <c r="AC405" s="94"/>
    </row>
    <row r="406" spans="1:29" ht="57" customHeight="1" x14ac:dyDescent="0.25">
      <c r="A406" s="119" t="s">
        <v>753</v>
      </c>
      <c r="B406" s="128" t="s">
        <v>754</v>
      </c>
      <c r="C406" s="328" t="s">
        <v>755</v>
      </c>
      <c r="D406" s="331" t="s">
        <v>632</v>
      </c>
      <c r="E406" s="334" t="s">
        <v>756</v>
      </c>
      <c r="F406" s="334"/>
      <c r="G406" s="337" t="s">
        <v>128</v>
      </c>
      <c r="H406" s="340"/>
      <c r="I406" s="334"/>
      <c r="J406" s="331" t="s">
        <v>752</v>
      </c>
      <c r="K406" s="38"/>
      <c r="L406" s="38"/>
      <c r="M406" s="61"/>
      <c r="N406" s="61"/>
      <c r="O406" s="89"/>
      <c r="P406" s="89"/>
      <c r="Q406" s="89"/>
      <c r="R406" s="89"/>
      <c r="S406" s="89"/>
      <c r="T406" s="89"/>
      <c r="U406" s="89"/>
      <c r="V406" s="89"/>
      <c r="W406" s="89"/>
      <c r="X406" s="70"/>
      <c r="Y406" s="70"/>
      <c r="Z406" s="70"/>
      <c r="AA406" s="70"/>
      <c r="AB406" s="50"/>
      <c r="AC406" s="92"/>
    </row>
    <row r="407" spans="1:29" ht="57" customHeight="1" x14ac:dyDescent="0.25">
      <c r="A407" s="129"/>
      <c r="B407" s="130"/>
      <c r="C407" s="329"/>
      <c r="D407" s="332"/>
      <c r="E407" s="335"/>
      <c r="F407" s="335"/>
      <c r="G407" s="338"/>
      <c r="H407" s="341"/>
      <c r="I407" s="335"/>
      <c r="J407" s="332"/>
      <c r="K407" s="56"/>
      <c r="L407" s="56"/>
      <c r="M407" s="55"/>
      <c r="N407" s="55"/>
      <c r="O407" s="87"/>
      <c r="P407" s="87"/>
      <c r="Q407" s="87"/>
      <c r="R407" s="87"/>
      <c r="S407" s="87"/>
      <c r="T407" s="87"/>
      <c r="U407" s="87"/>
      <c r="V407" s="87"/>
      <c r="W407" s="87"/>
      <c r="X407" s="68"/>
      <c r="Y407" s="68"/>
      <c r="Z407" s="68"/>
      <c r="AA407" s="68"/>
      <c r="AB407" s="51"/>
      <c r="AC407" s="93"/>
    </row>
    <row r="408" spans="1:29" ht="57" customHeight="1" thickBot="1" x14ac:dyDescent="0.3">
      <c r="A408" s="131"/>
      <c r="B408" s="132"/>
      <c r="C408" s="330"/>
      <c r="D408" s="333"/>
      <c r="E408" s="336"/>
      <c r="F408" s="336"/>
      <c r="G408" s="339"/>
      <c r="H408" s="342"/>
      <c r="I408" s="336"/>
      <c r="J408" s="333"/>
      <c r="K408" s="39"/>
      <c r="L408" s="39"/>
      <c r="M408" s="60"/>
      <c r="N408" s="60"/>
      <c r="O408" s="88"/>
      <c r="P408" s="88"/>
      <c r="Q408" s="88"/>
      <c r="R408" s="88"/>
      <c r="S408" s="88"/>
      <c r="T408" s="88"/>
      <c r="U408" s="88"/>
      <c r="V408" s="88"/>
      <c r="W408" s="88"/>
      <c r="X408" s="69"/>
      <c r="Y408" s="69"/>
      <c r="Z408" s="69"/>
      <c r="AA408" s="69"/>
      <c r="AB408" s="52"/>
      <c r="AC408" s="94"/>
    </row>
    <row r="409" spans="1:29" ht="57" customHeight="1" thickBot="1" x14ac:dyDescent="0.3">
      <c r="A409" s="125">
        <v>9</v>
      </c>
      <c r="B409" s="126" t="s">
        <v>757</v>
      </c>
      <c r="C409" s="139"/>
      <c r="D409" s="62"/>
      <c r="E409" s="62"/>
      <c r="F409" s="62"/>
      <c r="G409" s="62"/>
      <c r="H409" s="62"/>
      <c r="I409" s="62"/>
      <c r="J409" s="62"/>
      <c r="K409" s="62"/>
      <c r="L409" s="62"/>
      <c r="M409" s="140"/>
      <c r="N409" s="140"/>
      <c r="O409" s="83"/>
      <c r="P409" s="83"/>
      <c r="Q409" s="83"/>
      <c r="R409" s="83"/>
      <c r="S409" s="83"/>
      <c r="T409" s="83"/>
      <c r="U409" s="83"/>
      <c r="V409" s="83"/>
      <c r="W409" s="83"/>
      <c r="X409" s="73"/>
      <c r="Y409" s="73"/>
      <c r="Z409" s="73"/>
      <c r="AA409" s="73"/>
      <c r="AB409" s="140"/>
      <c r="AC409" s="53"/>
    </row>
    <row r="410" spans="1:29" ht="57" customHeight="1" thickBot="1" x14ac:dyDescent="0.3">
      <c r="A410" s="127"/>
      <c r="B410" s="138" t="s">
        <v>758</v>
      </c>
      <c r="C410" s="139"/>
      <c r="D410" s="62"/>
      <c r="E410" s="62"/>
      <c r="F410" s="62"/>
      <c r="G410" s="62"/>
      <c r="H410" s="62"/>
      <c r="I410" s="62"/>
      <c r="J410" s="62"/>
      <c r="K410" s="62"/>
      <c r="L410" s="62"/>
      <c r="M410" s="135"/>
      <c r="N410" s="135"/>
      <c r="O410" s="86"/>
      <c r="P410" s="86"/>
      <c r="Q410" s="86"/>
      <c r="R410" s="86"/>
      <c r="S410" s="86"/>
      <c r="T410" s="86"/>
      <c r="U410" s="86"/>
      <c r="V410" s="86"/>
      <c r="W410" s="86"/>
      <c r="X410" s="71"/>
      <c r="Y410" s="71"/>
      <c r="Z410" s="71"/>
      <c r="AA410" s="71"/>
      <c r="AB410" s="135"/>
      <c r="AC410" s="54"/>
    </row>
    <row r="411" spans="1:29" ht="57" customHeight="1" x14ac:dyDescent="0.25">
      <c r="A411" s="119" t="s">
        <v>759</v>
      </c>
      <c r="B411" s="128" t="s">
        <v>760</v>
      </c>
      <c r="C411" s="328" t="s">
        <v>761</v>
      </c>
      <c r="D411" s="331" t="s">
        <v>762</v>
      </c>
      <c r="E411" s="334"/>
      <c r="F411" s="334"/>
      <c r="G411" s="337"/>
      <c r="H411" s="340"/>
      <c r="I411" s="334" t="s">
        <v>763</v>
      </c>
      <c r="J411" s="331" t="s">
        <v>761</v>
      </c>
      <c r="K411" s="38"/>
      <c r="L411" s="38"/>
      <c r="M411" s="61"/>
      <c r="N411" s="61"/>
      <c r="O411" s="89"/>
      <c r="P411" s="89"/>
      <c r="Q411" s="89"/>
      <c r="R411" s="89"/>
      <c r="S411" s="89"/>
      <c r="T411" s="89"/>
      <c r="U411" s="89"/>
      <c r="V411" s="89"/>
      <c r="W411" s="89"/>
      <c r="X411" s="70"/>
      <c r="Y411" s="70"/>
      <c r="Z411" s="70"/>
      <c r="AA411" s="70"/>
      <c r="AB411" s="50"/>
      <c r="AC411" s="92"/>
    </row>
    <row r="412" spans="1:29" ht="57" customHeight="1" x14ac:dyDescent="0.25">
      <c r="A412" s="129"/>
      <c r="B412" s="130"/>
      <c r="C412" s="329"/>
      <c r="D412" s="332"/>
      <c r="E412" s="335"/>
      <c r="F412" s="335"/>
      <c r="G412" s="338"/>
      <c r="H412" s="341"/>
      <c r="I412" s="335"/>
      <c r="J412" s="332"/>
      <c r="K412" s="56"/>
      <c r="L412" s="56"/>
      <c r="M412" s="55"/>
      <c r="N412" s="55"/>
      <c r="O412" s="87"/>
      <c r="P412" s="87"/>
      <c r="Q412" s="87"/>
      <c r="R412" s="87"/>
      <c r="S412" s="87"/>
      <c r="T412" s="87"/>
      <c r="U412" s="87"/>
      <c r="V412" s="87"/>
      <c r="W412" s="87"/>
      <c r="X412" s="68"/>
      <c r="Y412" s="68"/>
      <c r="Z412" s="68"/>
      <c r="AA412" s="68"/>
      <c r="AB412" s="51"/>
      <c r="AC412" s="93"/>
    </row>
    <row r="413" spans="1:29" ht="57" customHeight="1" thickBot="1" x14ac:dyDescent="0.3">
      <c r="A413" s="131"/>
      <c r="B413" s="132"/>
      <c r="C413" s="330"/>
      <c r="D413" s="333"/>
      <c r="E413" s="336"/>
      <c r="F413" s="336"/>
      <c r="G413" s="339"/>
      <c r="H413" s="342"/>
      <c r="I413" s="336"/>
      <c r="J413" s="333"/>
      <c r="K413" s="39"/>
      <c r="L413" s="39"/>
      <c r="M413" s="60"/>
      <c r="N413" s="60"/>
      <c r="O413" s="88"/>
      <c r="P413" s="88"/>
      <c r="Q413" s="88"/>
      <c r="R413" s="88"/>
      <c r="S413" s="88"/>
      <c r="T413" s="88"/>
      <c r="U413" s="88"/>
      <c r="V413" s="88"/>
      <c r="W413" s="88"/>
      <c r="X413" s="69"/>
      <c r="Y413" s="69"/>
      <c r="Z413" s="69"/>
      <c r="AA413" s="69"/>
      <c r="AB413" s="52"/>
      <c r="AC413" s="94"/>
    </row>
    <row r="414" spans="1:29" ht="57" customHeight="1" x14ac:dyDescent="0.25">
      <c r="A414" s="119" t="s">
        <v>764</v>
      </c>
      <c r="B414" s="128" t="s">
        <v>765</v>
      </c>
      <c r="C414" s="328" t="s">
        <v>766</v>
      </c>
      <c r="D414" s="331" t="s">
        <v>767</v>
      </c>
      <c r="E414" s="334"/>
      <c r="F414" s="334"/>
      <c r="G414" s="337"/>
      <c r="H414" s="340"/>
      <c r="I414" s="334" t="s">
        <v>613</v>
      </c>
      <c r="J414" s="331" t="s">
        <v>766</v>
      </c>
      <c r="K414" s="38"/>
      <c r="L414" s="38"/>
      <c r="M414" s="61"/>
      <c r="N414" s="61"/>
      <c r="O414" s="89"/>
      <c r="P414" s="89"/>
      <c r="Q414" s="89"/>
      <c r="R414" s="89"/>
      <c r="S414" s="89"/>
      <c r="T414" s="89"/>
      <c r="U414" s="89"/>
      <c r="V414" s="89"/>
      <c r="W414" s="89"/>
      <c r="X414" s="70"/>
      <c r="Y414" s="70"/>
      <c r="Z414" s="70"/>
      <c r="AA414" s="70"/>
      <c r="AB414" s="50"/>
      <c r="AC414" s="92"/>
    </row>
    <row r="415" spans="1:29" ht="57" customHeight="1" x14ac:dyDescent="0.25">
      <c r="A415" s="129"/>
      <c r="B415" s="130"/>
      <c r="C415" s="329"/>
      <c r="D415" s="332"/>
      <c r="E415" s="335"/>
      <c r="F415" s="335"/>
      <c r="G415" s="338"/>
      <c r="H415" s="341"/>
      <c r="I415" s="335"/>
      <c r="J415" s="332"/>
      <c r="K415" s="56"/>
      <c r="L415" s="56"/>
      <c r="M415" s="55"/>
      <c r="N415" s="55"/>
      <c r="O415" s="87"/>
      <c r="P415" s="87"/>
      <c r="Q415" s="87"/>
      <c r="R415" s="87"/>
      <c r="S415" s="87"/>
      <c r="T415" s="87"/>
      <c r="U415" s="87"/>
      <c r="V415" s="87"/>
      <c r="W415" s="87"/>
      <c r="X415" s="68"/>
      <c r="Y415" s="68"/>
      <c r="Z415" s="68"/>
      <c r="AA415" s="68"/>
      <c r="AB415" s="51"/>
      <c r="AC415" s="93"/>
    </row>
    <row r="416" spans="1:29" ht="57" customHeight="1" thickBot="1" x14ac:dyDescent="0.3">
      <c r="A416" s="131"/>
      <c r="B416" s="132"/>
      <c r="C416" s="330"/>
      <c r="D416" s="333"/>
      <c r="E416" s="336"/>
      <c r="F416" s="336"/>
      <c r="G416" s="339"/>
      <c r="H416" s="342"/>
      <c r="I416" s="336"/>
      <c r="J416" s="333"/>
      <c r="K416" s="39"/>
      <c r="L416" s="39"/>
      <c r="M416" s="60"/>
      <c r="N416" s="60"/>
      <c r="O416" s="88"/>
      <c r="P416" s="88"/>
      <c r="Q416" s="88"/>
      <c r="R416" s="88"/>
      <c r="S416" s="88"/>
      <c r="T416" s="88"/>
      <c r="U416" s="88"/>
      <c r="V416" s="88"/>
      <c r="W416" s="88"/>
      <c r="X416" s="69"/>
      <c r="Y416" s="69"/>
      <c r="Z416" s="69"/>
      <c r="AA416" s="69"/>
      <c r="AB416" s="52"/>
      <c r="AC416" s="94"/>
    </row>
    <row r="417" spans="1:29" ht="57" customHeight="1" thickBot="1" x14ac:dyDescent="0.3">
      <c r="A417" s="127"/>
      <c r="B417" s="138" t="s">
        <v>768</v>
      </c>
      <c r="C417" s="139"/>
      <c r="D417" s="62"/>
      <c r="E417" s="62"/>
      <c r="F417" s="62"/>
      <c r="G417" s="62"/>
      <c r="H417" s="62"/>
      <c r="I417" s="62"/>
      <c r="J417" s="62"/>
      <c r="K417" s="62"/>
      <c r="L417" s="62"/>
      <c r="M417" s="135"/>
      <c r="N417" s="135"/>
      <c r="O417" s="86"/>
      <c r="P417" s="86"/>
      <c r="Q417" s="86"/>
      <c r="R417" s="86"/>
      <c r="S417" s="86"/>
      <c r="T417" s="86"/>
      <c r="U417" s="86"/>
      <c r="V417" s="86"/>
      <c r="W417" s="86"/>
      <c r="X417" s="71"/>
      <c r="Y417" s="71"/>
      <c r="Z417" s="71"/>
      <c r="AA417" s="71"/>
      <c r="AB417" s="135"/>
      <c r="AC417" s="54"/>
    </row>
    <row r="418" spans="1:29" ht="57" customHeight="1" x14ac:dyDescent="0.25">
      <c r="A418" s="119" t="s">
        <v>769</v>
      </c>
      <c r="B418" s="128" t="s">
        <v>770</v>
      </c>
      <c r="C418" s="328" t="s">
        <v>771</v>
      </c>
      <c r="D418" s="331" t="s">
        <v>772</v>
      </c>
      <c r="E418" s="334"/>
      <c r="F418" s="334"/>
      <c r="G418" s="337"/>
      <c r="H418" s="340"/>
      <c r="I418" s="334" t="s">
        <v>773</v>
      </c>
      <c r="J418" s="331" t="s">
        <v>771</v>
      </c>
      <c r="K418" s="38"/>
      <c r="L418" s="38"/>
      <c r="M418" s="61"/>
      <c r="N418" s="61"/>
      <c r="O418" s="89"/>
      <c r="P418" s="89"/>
      <c r="Q418" s="89"/>
      <c r="R418" s="89"/>
      <c r="S418" s="89"/>
      <c r="T418" s="89"/>
      <c r="U418" s="89"/>
      <c r="V418" s="89"/>
      <c r="W418" s="89"/>
      <c r="X418" s="70"/>
      <c r="Y418" s="70"/>
      <c r="Z418" s="70"/>
      <c r="AA418" s="70"/>
      <c r="AB418" s="50"/>
      <c r="AC418" s="92"/>
    </row>
    <row r="419" spans="1:29" ht="57" customHeight="1" x14ac:dyDescent="0.25">
      <c r="A419" s="129"/>
      <c r="B419" s="130"/>
      <c r="C419" s="329"/>
      <c r="D419" s="332"/>
      <c r="E419" s="335"/>
      <c r="F419" s="335"/>
      <c r="G419" s="338"/>
      <c r="H419" s="341"/>
      <c r="I419" s="335"/>
      <c r="J419" s="332"/>
      <c r="K419" s="56"/>
      <c r="L419" s="56"/>
      <c r="M419" s="55"/>
      <c r="N419" s="55"/>
      <c r="O419" s="87"/>
      <c r="P419" s="87"/>
      <c r="Q419" s="87"/>
      <c r="R419" s="87"/>
      <c r="S419" s="87"/>
      <c r="T419" s="87"/>
      <c r="U419" s="87"/>
      <c r="V419" s="87"/>
      <c r="W419" s="87"/>
      <c r="X419" s="68"/>
      <c r="Y419" s="68"/>
      <c r="Z419" s="68"/>
      <c r="AA419" s="68"/>
      <c r="AB419" s="51"/>
      <c r="AC419" s="93"/>
    </row>
    <row r="420" spans="1:29" ht="57" customHeight="1" thickBot="1" x14ac:dyDescent="0.3">
      <c r="A420" s="131"/>
      <c r="B420" s="132"/>
      <c r="C420" s="330"/>
      <c r="D420" s="333"/>
      <c r="E420" s="336"/>
      <c r="F420" s="336"/>
      <c r="G420" s="339"/>
      <c r="H420" s="342"/>
      <c r="I420" s="336"/>
      <c r="J420" s="333"/>
      <c r="K420" s="39"/>
      <c r="L420" s="39"/>
      <c r="M420" s="60"/>
      <c r="N420" s="60"/>
      <c r="O420" s="88"/>
      <c r="P420" s="88"/>
      <c r="Q420" s="88"/>
      <c r="R420" s="88"/>
      <c r="S420" s="88"/>
      <c r="T420" s="88"/>
      <c r="U420" s="88"/>
      <c r="V420" s="88"/>
      <c r="W420" s="88"/>
      <c r="X420" s="69"/>
      <c r="Y420" s="69"/>
      <c r="Z420" s="69"/>
      <c r="AA420" s="69"/>
      <c r="AB420" s="52"/>
      <c r="AC420" s="94"/>
    </row>
    <row r="421" spans="1:29" ht="57" customHeight="1" thickBot="1" x14ac:dyDescent="0.3">
      <c r="A421" s="127"/>
      <c r="B421" s="133" t="s">
        <v>774</v>
      </c>
      <c r="C421" s="357"/>
      <c r="D421" s="358"/>
      <c r="E421" s="358"/>
      <c r="F421" s="358"/>
      <c r="G421" s="358"/>
      <c r="H421" s="358"/>
      <c r="I421" s="358"/>
      <c r="J421" s="358"/>
      <c r="K421" s="358"/>
      <c r="L421" s="358"/>
      <c r="M421" s="135"/>
      <c r="N421" s="135"/>
      <c r="O421" s="86"/>
      <c r="P421" s="86"/>
      <c r="Q421" s="86"/>
      <c r="R421" s="86"/>
      <c r="S421" s="86"/>
      <c r="T421" s="86"/>
      <c r="U421" s="86"/>
      <c r="V421" s="86"/>
      <c r="W421" s="86"/>
      <c r="X421" s="71"/>
      <c r="Y421" s="71"/>
      <c r="Z421" s="71"/>
      <c r="AA421" s="71"/>
      <c r="AB421" s="135"/>
      <c r="AC421" s="54"/>
    </row>
    <row r="422" spans="1:29" ht="57" customHeight="1" x14ac:dyDescent="0.25">
      <c r="A422" s="119" t="s">
        <v>775</v>
      </c>
      <c r="B422" s="128" t="s">
        <v>776</v>
      </c>
      <c r="C422" s="328" t="s">
        <v>777</v>
      </c>
      <c r="D422" s="331" t="s">
        <v>778</v>
      </c>
      <c r="E422" s="334"/>
      <c r="F422" s="334"/>
      <c r="G422" s="337"/>
      <c r="H422" s="340"/>
      <c r="I422" s="334" t="s">
        <v>779</v>
      </c>
      <c r="J422" s="331" t="s">
        <v>780</v>
      </c>
      <c r="K422" s="38"/>
      <c r="L422" s="38"/>
      <c r="M422" s="61"/>
      <c r="N422" s="61"/>
      <c r="O422" s="89"/>
      <c r="P422" s="89"/>
      <c r="Q422" s="89"/>
      <c r="R422" s="89"/>
      <c r="S422" s="89"/>
      <c r="T422" s="89"/>
      <c r="U422" s="89"/>
      <c r="V422" s="89"/>
      <c r="W422" s="89"/>
      <c r="X422" s="70"/>
      <c r="Y422" s="70"/>
      <c r="Z422" s="70"/>
      <c r="AA422" s="70"/>
      <c r="AB422" s="50"/>
      <c r="AC422" s="92"/>
    </row>
    <row r="423" spans="1:29" ht="57" customHeight="1" x14ac:dyDescent="0.25">
      <c r="A423" s="129"/>
      <c r="B423" s="130"/>
      <c r="C423" s="329"/>
      <c r="D423" s="332"/>
      <c r="E423" s="335"/>
      <c r="F423" s="335"/>
      <c r="G423" s="338"/>
      <c r="H423" s="341"/>
      <c r="I423" s="335"/>
      <c r="J423" s="332"/>
      <c r="K423" s="56"/>
      <c r="L423" s="56"/>
      <c r="M423" s="55"/>
      <c r="N423" s="55"/>
      <c r="O423" s="87"/>
      <c r="P423" s="87"/>
      <c r="Q423" s="87"/>
      <c r="R423" s="87"/>
      <c r="S423" s="87"/>
      <c r="T423" s="87"/>
      <c r="U423" s="87"/>
      <c r="V423" s="87"/>
      <c r="W423" s="87"/>
      <c r="X423" s="68"/>
      <c r="Y423" s="68"/>
      <c r="Z423" s="68"/>
      <c r="AA423" s="68"/>
      <c r="AB423" s="51"/>
      <c r="AC423" s="93"/>
    </row>
    <row r="424" spans="1:29" ht="57" customHeight="1" thickBot="1" x14ac:dyDescent="0.3">
      <c r="A424" s="131"/>
      <c r="B424" s="132"/>
      <c r="C424" s="330"/>
      <c r="D424" s="333"/>
      <c r="E424" s="336"/>
      <c r="F424" s="336"/>
      <c r="G424" s="339"/>
      <c r="H424" s="342"/>
      <c r="I424" s="336"/>
      <c r="J424" s="333"/>
      <c r="K424" s="39"/>
      <c r="L424" s="39"/>
      <c r="M424" s="60"/>
      <c r="N424" s="60"/>
      <c r="O424" s="88"/>
      <c r="P424" s="88"/>
      <c r="Q424" s="88"/>
      <c r="R424" s="88"/>
      <c r="S424" s="88"/>
      <c r="T424" s="88"/>
      <c r="U424" s="88"/>
      <c r="V424" s="88"/>
      <c r="W424" s="88"/>
      <c r="X424" s="69"/>
      <c r="Y424" s="69"/>
      <c r="Z424" s="69"/>
      <c r="AA424" s="69"/>
      <c r="AB424" s="52"/>
      <c r="AC424" s="94"/>
    </row>
    <row r="425" spans="1:29" ht="57" customHeight="1" x14ac:dyDescent="0.25">
      <c r="A425" s="119" t="s">
        <v>781</v>
      </c>
      <c r="B425" s="128" t="s">
        <v>782</v>
      </c>
      <c r="C425" s="328" t="s">
        <v>783</v>
      </c>
      <c r="D425" s="331" t="s">
        <v>784</v>
      </c>
      <c r="E425" s="334"/>
      <c r="F425" s="334"/>
      <c r="G425" s="337"/>
      <c r="H425" s="340"/>
      <c r="I425" s="334"/>
      <c r="J425" s="331"/>
      <c r="K425" s="38"/>
      <c r="L425" s="38"/>
      <c r="M425" s="61"/>
      <c r="N425" s="61"/>
      <c r="O425" s="89"/>
      <c r="P425" s="89"/>
      <c r="Q425" s="89"/>
      <c r="R425" s="89"/>
      <c r="S425" s="89"/>
      <c r="T425" s="89"/>
      <c r="U425" s="89"/>
      <c r="V425" s="89"/>
      <c r="W425" s="89"/>
      <c r="X425" s="70"/>
      <c r="Y425" s="70"/>
      <c r="Z425" s="70"/>
      <c r="AA425" s="70"/>
      <c r="AB425" s="50"/>
      <c r="AC425" s="92"/>
    </row>
    <row r="426" spans="1:29" ht="57" customHeight="1" x14ac:dyDescent="0.25">
      <c r="A426" s="129"/>
      <c r="B426" s="130"/>
      <c r="C426" s="329"/>
      <c r="D426" s="332"/>
      <c r="E426" s="335"/>
      <c r="F426" s="335"/>
      <c r="G426" s="338"/>
      <c r="H426" s="341"/>
      <c r="I426" s="335"/>
      <c r="J426" s="332"/>
      <c r="K426" s="56"/>
      <c r="L426" s="56"/>
      <c r="M426" s="55"/>
      <c r="N426" s="55"/>
      <c r="O426" s="87"/>
      <c r="P426" s="87"/>
      <c r="Q426" s="87"/>
      <c r="R426" s="87"/>
      <c r="S426" s="87"/>
      <c r="T426" s="87"/>
      <c r="U426" s="87"/>
      <c r="V426" s="87"/>
      <c r="W426" s="87"/>
      <c r="X426" s="68"/>
      <c r="Y426" s="68"/>
      <c r="Z426" s="68"/>
      <c r="AA426" s="68"/>
      <c r="AB426" s="51"/>
      <c r="AC426" s="93"/>
    </row>
    <row r="427" spans="1:29" ht="57" customHeight="1" thickBot="1" x14ac:dyDescent="0.3">
      <c r="A427" s="131"/>
      <c r="B427" s="132"/>
      <c r="C427" s="330"/>
      <c r="D427" s="333"/>
      <c r="E427" s="336"/>
      <c r="F427" s="336"/>
      <c r="G427" s="339"/>
      <c r="H427" s="342"/>
      <c r="I427" s="336"/>
      <c r="J427" s="333"/>
      <c r="K427" s="39"/>
      <c r="L427" s="39"/>
      <c r="M427" s="60"/>
      <c r="N427" s="60"/>
      <c r="O427" s="88"/>
      <c r="P427" s="88"/>
      <c r="Q427" s="88"/>
      <c r="R427" s="88"/>
      <c r="S427" s="88"/>
      <c r="T427" s="88"/>
      <c r="U427" s="88"/>
      <c r="V427" s="88"/>
      <c r="W427" s="88"/>
      <c r="X427" s="69"/>
      <c r="Y427" s="69"/>
      <c r="Z427" s="69"/>
      <c r="AA427" s="69"/>
      <c r="AB427" s="52"/>
      <c r="AC427" s="94"/>
    </row>
    <row r="428" spans="1:29" ht="57" customHeight="1" thickBot="1" x14ac:dyDescent="0.3">
      <c r="A428" s="127"/>
      <c r="B428" s="138" t="s">
        <v>785</v>
      </c>
      <c r="C428" s="136" t="s">
        <v>786</v>
      </c>
      <c r="D428" s="137"/>
      <c r="E428" s="137"/>
      <c r="F428" s="138"/>
      <c r="G428" s="138"/>
      <c r="H428" s="138"/>
      <c r="I428" s="138"/>
      <c r="J428" s="138"/>
      <c r="K428" s="135"/>
      <c r="L428" s="135"/>
      <c r="M428" s="135"/>
      <c r="N428" s="135"/>
      <c r="O428" s="86"/>
      <c r="P428" s="86"/>
      <c r="Q428" s="86"/>
      <c r="R428" s="86"/>
      <c r="S428" s="86"/>
      <c r="T428" s="86"/>
      <c r="U428" s="86"/>
      <c r="V428" s="86"/>
      <c r="W428" s="86"/>
      <c r="X428" s="71"/>
      <c r="Y428" s="71"/>
      <c r="Z428" s="71"/>
      <c r="AA428" s="71"/>
      <c r="AB428" s="135"/>
      <c r="AC428" s="54"/>
    </row>
    <row r="429" spans="1:29" ht="57" customHeight="1" x14ac:dyDescent="0.25">
      <c r="A429" s="119" t="s">
        <v>787</v>
      </c>
      <c r="B429" s="128" t="s">
        <v>788</v>
      </c>
      <c r="C429" s="328" t="s">
        <v>786</v>
      </c>
      <c r="D429" s="331" t="s">
        <v>789</v>
      </c>
      <c r="E429" s="334"/>
      <c r="F429" s="334"/>
      <c r="G429" s="337"/>
      <c r="H429" s="340"/>
      <c r="I429" s="334" t="s">
        <v>790</v>
      </c>
      <c r="J429" s="331" t="s">
        <v>791</v>
      </c>
      <c r="K429" s="38"/>
      <c r="L429" s="38"/>
      <c r="M429" s="61"/>
      <c r="N429" s="61"/>
      <c r="O429" s="89"/>
      <c r="P429" s="89"/>
      <c r="Q429" s="89"/>
      <c r="R429" s="89"/>
      <c r="S429" s="89"/>
      <c r="T429" s="89"/>
      <c r="U429" s="89"/>
      <c r="V429" s="89"/>
      <c r="W429" s="89"/>
      <c r="X429" s="70"/>
      <c r="Y429" s="70"/>
      <c r="Z429" s="70"/>
      <c r="AA429" s="70"/>
      <c r="AB429" s="50"/>
      <c r="AC429" s="92"/>
    </row>
    <row r="430" spans="1:29" ht="57" customHeight="1" x14ac:dyDescent="0.25">
      <c r="A430" s="129"/>
      <c r="B430" s="130"/>
      <c r="C430" s="329"/>
      <c r="D430" s="332"/>
      <c r="E430" s="335"/>
      <c r="F430" s="335"/>
      <c r="G430" s="338"/>
      <c r="H430" s="341"/>
      <c r="I430" s="335"/>
      <c r="J430" s="332"/>
      <c r="K430" s="56"/>
      <c r="L430" s="56"/>
      <c r="M430" s="55"/>
      <c r="N430" s="55"/>
      <c r="O430" s="87"/>
      <c r="P430" s="87"/>
      <c r="Q430" s="87"/>
      <c r="R430" s="87"/>
      <c r="S430" s="87"/>
      <c r="T430" s="87"/>
      <c r="U430" s="87"/>
      <c r="V430" s="87"/>
      <c r="W430" s="87"/>
      <c r="X430" s="68"/>
      <c r="Y430" s="68"/>
      <c r="Z430" s="68"/>
      <c r="AA430" s="68"/>
      <c r="AB430" s="51"/>
      <c r="AC430" s="93"/>
    </row>
    <row r="431" spans="1:29" ht="57" customHeight="1" thickBot="1" x14ac:dyDescent="0.3">
      <c r="A431" s="131"/>
      <c r="B431" s="132"/>
      <c r="C431" s="330"/>
      <c r="D431" s="333"/>
      <c r="E431" s="336"/>
      <c r="F431" s="336"/>
      <c r="G431" s="339"/>
      <c r="H431" s="342"/>
      <c r="I431" s="336"/>
      <c r="J431" s="333"/>
      <c r="K431" s="39"/>
      <c r="L431" s="39"/>
      <c r="M431" s="60"/>
      <c r="N431" s="60"/>
      <c r="O431" s="88"/>
      <c r="P431" s="88"/>
      <c r="Q431" s="88"/>
      <c r="R431" s="88"/>
      <c r="S431" s="88"/>
      <c r="T431" s="88"/>
      <c r="U431" s="88"/>
      <c r="V431" s="88"/>
      <c r="W431" s="88"/>
      <c r="X431" s="69"/>
      <c r="Y431" s="69"/>
      <c r="Z431" s="69"/>
      <c r="AA431" s="69"/>
      <c r="AB431" s="52"/>
      <c r="AC431" s="94"/>
    </row>
    <row r="432" spans="1:29" ht="57" customHeight="1" x14ac:dyDescent="0.25">
      <c r="A432" s="119" t="s">
        <v>787</v>
      </c>
      <c r="B432" s="128" t="s">
        <v>792</v>
      </c>
      <c r="C432" s="328" t="s">
        <v>793</v>
      </c>
      <c r="D432" s="331" t="s">
        <v>794</v>
      </c>
      <c r="E432" s="334"/>
      <c r="F432" s="334"/>
      <c r="G432" s="337"/>
      <c r="H432" s="340"/>
      <c r="I432" s="334" t="s">
        <v>791</v>
      </c>
      <c r="J432" s="331" t="s">
        <v>793</v>
      </c>
      <c r="K432" s="38"/>
      <c r="L432" s="38"/>
      <c r="M432" s="61"/>
      <c r="N432" s="61"/>
      <c r="O432" s="89"/>
      <c r="P432" s="89"/>
      <c r="Q432" s="89"/>
      <c r="R432" s="89"/>
      <c r="S432" s="89"/>
      <c r="T432" s="89"/>
      <c r="U432" s="89"/>
      <c r="V432" s="89"/>
      <c r="W432" s="89"/>
      <c r="X432" s="70"/>
      <c r="Y432" s="70"/>
      <c r="Z432" s="70"/>
      <c r="AA432" s="70"/>
      <c r="AB432" s="50"/>
      <c r="AC432" s="92"/>
    </row>
    <row r="433" spans="1:29" ht="57" customHeight="1" x14ac:dyDescent="0.25">
      <c r="A433" s="129"/>
      <c r="B433" s="130"/>
      <c r="C433" s="329"/>
      <c r="D433" s="332"/>
      <c r="E433" s="335"/>
      <c r="F433" s="335"/>
      <c r="G433" s="338"/>
      <c r="H433" s="341"/>
      <c r="I433" s="335"/>
      <c r="J433" s="332"/>
      <c r="K433" s="56"/>
      <c r="L433" s="56"/>
      <c r="M433" s="55"/>
      <c r="N433" s="55"/>
      <c r="O433" s="87"/>
      <c r="P433" s="87"/>
      <c r="Q433" s="87"/>
      <c r="R433" s="87"/>
      <c r="S433" s="87"/>
      <c r="T433" s="87"/>
      <c r="U433" s="87"/>
      <c r="V433" s="87"/>
      <c r="W433" s="87"/>
      <c r="X433" s="68"/>
      <c r="Y433" s="68"/>
      <c r="Z433" s="68"/>
      <c r="AA433" s="68"/>
      <c r="AB433" s="51"/>
      <c r="AC433" s="93"/>
    </row>
    <row r="434" spans="1:29" ht="57" customHeight="1" thickBot="1" x14ac:dyDescent="0.3">
      <c r="A434" s="131"/>
      <c r="B434" s="132"/>
      <c r="C434" s="330"/>
      <c r="D434" s="333"/>
      <c r="E434" s="336"/>
      <c r="F434" s="336"/>
      <c r="G434" s="339"/>
      <c r="H434" s="342"/>
      <c r="I434" s="336"/>
      <c r="J434" s="333"/>
      <c r="K434" s="39"/>
      <c r="L434" s="39"/>
      <c r="M434" s="60"/>
      <c r="N434" s="60"/>
      <c r="O434" s="88"/>
      <c r="P434" s="88"/>
      <c r="Q434" s="88"/>
      <c r="R434" s="88"/>
      <c r="S434" s="88"/>
      <c r="T434" s="88"/>
      <c r="U434" s="88"/>
      <c r="V434" s="88"/>
      <c r="W434" s="88"/>
      <c r="X434" s="69"/>
      <c r="Y434" s="69"/>
      <c r="Z434" s="69"/>
      <c r="AA434" s="69"/>
      <c r="AB434" s="52"/>
      <c r="AC434" s="94"/>
    </row>
    <row r="435" spans="1:29" s="36" customFormat="1" ht="57" customHeight="1" x14ac:dyDescent="0.35">
      <c r="O435" s="90">
        <f t="shared" ref="O435:W435" si="0">SUM(O8:O431)</f>
        <v>0</v>
      </c>
      <c r="P435" s="90">
        <f t="shared" si="0"/>
        <v>0</v>
      </c>
      <c r="Q435" s="90">
        <f t="shared" si="0"/>
        <v>0</v>
      </c>
      <c r="R435" s="90">
        <f t="shared" si="0"/>
        <v>0</v>
      </c>
      <c r="S435" s="90">
        <f t="shared" si="0"/>
        <v>0</v>
      </c>
      <c r="T435" s="90">
        <f t="shared" si="0"/>
        <v>0</v>
      </c>
      <c r="U435" s="90">
        <f t="shared" si="0"/>
        <v>0</v>
      </c>
      <c r="V435" s="90">
        <f t="shared" si="0"/>
        <v>0</v>
      </c>
      <c r="W435" s="90">
        <f t="shared" si="0"/>
        <v>0</v>
      </c>
      <c r="X435" s="76">
        <f>SUM(X14:X431)</f>
        <v>0</v>
      </c>
      <c r="Y435" s="76"/>
      <c r="Z435" s="76"/>
      <c r="AA435" s="76"/>
    </row>
  </sheetData>
  <sheetProtection formatCells="0" formatColumns="0" formatRows="0" insertColumns="0" insertRows="0" insertHyperlinks="0" selectLockedCells="1" sort="0" autoFilter="0" pivotTables="0"/>
  <autoFilter ref="A7:AC436" xr:uid="{00000000-0009-0000-0000-000005000000}"/>
  <dataConsolidate/>
  <customSheetViews>
    <customSheetView guid="{A881EEAB-4C12-45E2-A786-FAF50DD5927A}" scale="70" zeroValues="0" fitToPage="1" printArea="1" showAutoFilter="1" hiddenColumns="1" topLeftCell="A7">
      <pane xSplit="4" ySplit="3" topLeftCell="O298" activePane="bottomRight" state="frozen"/>
      <selection pane="bottomRight" activeCell="A9" sqref="A9:E9"/>
      <pageMargins left="0" right="0" top="0" bottom="0" header="0" footer="0"/>
      <pageSetup paperSize="8" scale="65" fitToHeight="16" orientation="landscape" r:id="rId1"/>
      <headerFooter>
        <oddHeader>&amp;CSheet: &amp;A</oddHeader>
        <oddFooter>&amp;L&amp;F&amp;C&amp;P/&amp;N&amp;R&amp;D</oddFooter>
      </headerFooter>
      <autoFilter ref="A9:AD552" xr:uid="{9B0918C6-6BE7-4B73-B301-D11CC618A256}"/>
    </customSheetView>
  </customSheetViews>
  <mergeCells count="1056">
    <mergeCell ref="E201:E203"/>
    <mergeCell ref="E418:E420"/>
    <mergeCell ref="E422:E424"/>
    <mergeCell ref="E429:E431"/>
    <mergeCell ref="B23:B25"/>
    <mergeCell ref="C23:C25"/>
    <mergeCell ref="D23:D25"/>
    <mergeCell ref="E23:E25"/>
    <mergeCell ref="F23:F25"/>
    <mergeCell ref="G23:G25"/>
    <mergeCell ref="H23:H25"/>
    <mergeCell ref="I23:I25"/>
    <mergeCell ref="J23:J25"/>
    <mergeCell ref="B27:B29"/>
    <mergeCell ref="B30:B32"/>
    <mergeCell ref="B33:B35"/>
    <mergeCell ref="B36:B38"/>
    <mergeCell ref="B39:B41"/>
    <mergeCell ref="B42:B44"/>
    <mergeCell ref="B46:B48"/>
    <mergeCell ref="E365:E367"/>
    <mergeCell ref="E369:E371"/>
    <mergeCell ref="E372:E374"/>
    <mergeCell ref="E376:E378"/>
    <mergeCell ref="B51:B53"/>
    <mergeCell ref="E393:E395"/>
    <mergeCell ref="E396:E398"/>
    <mergeCell ref="E399:E401"/>
    <mergeCell ref="E403:E405"/>
    <mergeCell ref="E406:E408"/>
    <mergeCell ref="E411:E413"/>
    <mergeCell ref="E414:E416"/>
    <mergeCell ref="B14:B16"/>
    <mergeCell ref="B17:B19"/>
    <mergeCell ref="B20:B22"/>
    <mergeCell ref="E14:E16"/>
    <mergeCell ref="E17:E19"/>
    <mergeCell ref="E20:E22"/>
    <mergeCell ref="E27:E29"/>
    <mergeCell ref="E30:E32"/>
    <mergeCell ref="E33:E35"/>
    <mergeCell ref="E36:E38"/>
    <mergeCell ref="E39:E41"/>
    <mergeCell ref="E46:E48"/>
    <mergeCell ref="G101:G103"/>
    <mergeCell ref="H101:H103"/>
    <mergeCell ref="C33:C35"/>
    <mergeCell ref="F33:F35"/>
    <mergeCell ref="C79:C81"/>
    <mergeCell ref="D79:D81"/>
    <mergeCell ref="F79:F81"/>
    <mergeCell ref="C86:C88"/>
    <mergeCell ref="E51:E53"/>
    <mergeCell ref="E55:E57"/>
    <mergeCell ref="E58:E60"/>
    <mergeCell ref="E61:E63"/>
    <mergeCell ref="E42:E44"/>
    <mergeCell ref="E73:E75"/>
    <mergeCell ref="E76:E78"/>
    <mergeCell ref="E79:E81"/>
    <mergeCell ref="E83:E85"/>
    <mergeCell ref="E86:E88"/>
    <mergeCell ref="E95:E97"/>
    <mergeCell ref="E98:E100"/>
    <mergeCell ref="G422:G424"/>
    <mergeCell ref="H422:H424"/>
    <mergeCell ref="G429:G431"/>
    <mergeCell ref="H429:H431"/>
    <mergeCell ref="C101:C103"/>
    <mergeCell ref="D101:D103"/>
    <mergeCell ref="F101:F103"/>
    <mergeCell ref="G210:G212"/>
    <mergeCell ref="H210:H212"/>
    <mergeCell ref="G214:G216"/>
    <mergeCell ref="H214:H216"/>
    <mergeCell ref="G217:G219"/>
    <mergeCell ref="H217:H219"/>
    <mergeCell ref="G207:G209"/>
    <mergeCell ref="H207:H209"/>
    <mergeCell ref="G418:G420"/>
    <mergeCell ref="H418:H420"/>
    <mergeCell ref="E108:E110"/>
    <mergeCell ref="E111:E113"/>
    <mergeCell ref="E114:E116"/>
    <mergeCell ref="E118:E120"/>
    <mergeCell ref="E124:E126"/>
    <mergeCell ref="E129:E131"/>
    <mergeCell ref="E133:E135"/>
    <mergeCell ref="E136:E138"/>
    <mergeCell ref="E139:E141"/>
    <mergeCell ref="E143:E145"/>
    <mergeCell ref="E146:E148"/>
    <mergeCell ref="E149:E151"/>
    <mergeCell ref="E152:E154"/>
    <mergeCell ref="E156:E158"/>
    <mergeCell ref="E159:E161"/>
    <mergeCell ref="F14:F16"/>
    <mergeCell ref="C14:C16"/>
    <mergeCell ref="J20:J22"/>
    <mergeCell ref="J17:J19"/>
    <mergeCell ref="D20:D22"/>
    <mergeCell ref="D30:D32"/>
    <mergeCell ref="C27:C29"/>
    <mergeCell ref="F27:F29"/>
    <mergeCell ref="I27:I29"/>
    <mergeCell ref="C30:C32"/>
    <mergeCell ref="F30:F32"/>
    <mergeCell ref="I30:I32"/>
    <mergeCell ref="D14:D16"/>
    <mergeCell ref="F17:F19"/>
    <mergeCell ref="D17:D19"/>
    <mergeCell ref="J30:J32"/>
    <mergeCell ref="G14:G16"/>
    <mergeCell ref="H14:H16"/>
    <mergeCell ref="G17:G19"/>
    <mergeCell ref="H17:H19"/>
    <mergeCell ref="G20:G22"/>
    <mergeCell ref="J27:J29"/>
    <mergeCell ref="D27:D29"/>
    <mergeCell ref="I61:I63"/>
    <mergeCell ref="J61:J63"/>
    <mergeCell ref="C54:D54"/>
    <mergeCell ref="C58:C60"/>
    <mergeCell ref="C55:C57"/>
    <mergeCell ref="D55:D57"/>
    <mergeCell ref="F55:F57"/>
    <mergeCell ref="I55:I57"/>
    <mergeCell ref="J55:J57"/>
    <mergeCell ref="J51:J53"/>
    <mergeCell ref="C50:D50"/>
    <mergeCell ref="C51:C53"/>
    <mergeCell ref="D51:D53"/>
    <mergeCell ref="F51:F53"/>
    <mergeCell ref="I51:I53"/>
    <mergeCell ref="D39:D41"/>
    <mergeCell ref="D46:D48"/>
    <mergeCell ref="J46:J48"/>
    <mergeCell ref="C39:C41"/>
    <mergeCell ref="F39:F41"/>
    <mergeCell ref="I39:I41"/>
    <mergeCell ref="J39:J41"/>
    <mergeCell ref="G39:G41"/>
    <mergeCell ref="C46:C48"/>
    <mergeCell ref="F46:F48"/>
    <mergeCell ref="G46:G48"/>
    <mergeCell ref="H46:H48"/>
    <mergeCell ref="I46:I48"/>
    <mergeCell ref="D58:D60"/>
    <mergeCell ref="F58:F60"/>
    <mergeCell ref="I58:I60"/>
    <mergeCell ref="J58:J60"/>
    <mergeCell ref="G65:G67"/>
    <mergeCell ref="H65:H67"/>
    <mergeCell ref="G68:G70"/>
    <mergeCell ref="H68:H70"/>
    <mergeCell ref="D121:D123"/>
    <mergeCell ref="E121:E123"/>
    <mergeCell ref="F121:F123"/>
    <mergeCell ref="I68:I70"/>
    <mergeCell ref="J68:J70"/>
    <mergeCell ref="C65:C67"/>
    <mergeCell ref="D65:D67"/>
    <mergeCell ref="F65:F67"/>
    <mergeCell ref="I65:I67"/>
    <mergeCell ref="J65:J67"/>
    <mergeCell ref="C95:C97"/>
    <mergeCell ref="D95:D97"/>
    <mergeCell ref="F95:F97"/>
    <mergeCell ref="I95:I97"/>
    <mergeCell ref="J95:J97"/>
    <mergeCell ref="G95:G97"/>
    <mergeCell ref="H95:H97"/>
    <mergeCell ref="C98:C100"/>
    <mergeCell ref="D98:D100"/>
    <mergeCell ref="F98:F100"/>
    <mergeCell ref="I98:I100"/>
    <mergeCell ref="I101:I103"/>
    <mergeCell ref="J101:J103"/>
    <mergeCell ref="E101:E103"/>
    <mergeCell ref="E104:E106"/>
    <mergeCell ref="J98:J100"/>
    <mergeCell ref="G98:G100"/>
    <mergeCell ref="H98:H100"/>
    <mergeCell ref="C61:C63"/>
    <mergeCell ref="D61:D63"/>
    <mergeCell ref="G92:G94"/>
    <mergeCell ref="H92:H94"/>
    <mergeCell ref="I79:I81"/>
    <mergeCell ref="J79:J81"/>
    <mergeCell ref="C76:C78"/>
    <mergeCell ref="D76:D78"/>
    <mergeCell ref="F76:F78"/>
    <mergeCell ref="I76:I78"/>
    <mergeCell ref="J76:J78"/>
    <mergeCell ref="G76:G78"/>
    <mergeCell ref="H76:H78"/>
    <mergeCell ref="G79:G81"/>
    <mergeCell ref="H79:H81"/>
    <mergeCell ref="C83:C85"/>
    <mergeCell ref="D83:D85"/>
    <mergeCell ref="F83:F85"/>
    <mergeCell ref="I83:I85"/>
    <mergeCell ref="J83:J85"/>
    <mergeCell ref="C82:D82"/>
    <mergeCell ref="G83:G85"/>
    <mergeCell ref="H83:H85"/>
    <mergeCell ref="E89:E91"/>
    <mergeCell ref="E92:E94"/>
    <mergeCell ref="C73:C75"/>
    <mergeCell ref="D73:D75"/>
    <mergeCell ref="F73:F75"/>
    <mergeCell ref="I73:I75"/>
    <mergeCell ref="J73:J75"/>
    <mergeCell ref="G73:G75"/>
    <mergeCell ref="H73:H75"/>
    <mergeCell ref="D86:D88"/>
    <mergeCell ref="F86:F88"/>
    <mergeCell ref="I86:I88"/>
    <mergeCell ref="J86:J88"/>
    <mergeCell ref="G86:G88"/>
    <mergeCell ref="H86:H88"/>
    <mergeCell ref="C92:C94"/>
    <mergeCell ref="D92:D94"/>
    <mergeCell ref="F92:F94"/>
    <mergeCell ref="I92:I94"/>
    <mergeCell ref="J92:J94"/>
    <mergeCell ref="C89:C91"/>
    <mergeCell ref="D89:D91"/>
    <mergeCell ref="F89:F91"/>
    <mergeCell ref="I89:I91"/>
    <mergeCell ref="J89:J91"/>
    <mergeCell ref="G89:G91"/>
    <mergeCell ref="H89:H91"/>
    <mergeCell ref="J104:J106"/>
    <mergeCell ref="C108:C110"/>
    <mergeCell ref="G104:G106"/>
    <mergeCell ref="H104:H106"/>
    <mergeCell ref="G108:G110"/>
    <mergeCell ref="H108:H110"/>
    <mergeCell ref="F118:F120"/>
    <mergeCell ref="I118:I120"/>
    <mergeCell ref="J118:J120"/>
    <mergeCell ref="C114:C116"/>
    <mergeCell ref="D114:D116"/>
    <mergeCell ref="F114:F116"/>
    <mergeCell ref="I114:I116"/>
    <mergeCell ref="J114:J116"/>
    <mergeCell ref="C111:C113"/>
    <mergeCell ref="D111:D113"/>
    <mergeCell ref="F111:F113"/>
    <mergeCell ref="I111:I113"/>
    <mergeCell ref="J111:J113"/>
    <mergeCell ref="C118:C120"/>
    <mergeCell ref="D118:D120"/>
    <mergeCell ref="G111:G113"/>
    <mergeCell ref="H111:H113"/>
    <mergeCell ref="G114:G116"/>
    <mergeCell ref="H114:H116"/>
    <mergeCell ref="G118:G120"/>
    <mergeCell ref="H118:H120"/>
    <mergeCell ref="C124:C126"/>
    <mergeCell ref="D124:D126"/>
    <mergeCell ref="F124:F126"/>
    <mergeCell ref="I124:I126"/>
    <mergeCell ref="J124:J126"/>
    <mergeCell ref="C42:C44"/>
    <mergeCell ref="D42:D44"/>
    <mergeCell ref="G124:G126"/>
    <mergeCell ref="H124:H126"/>
    <mergeCell ref="G42:G44"/>
    <mergeCell ref="H42:H44"/>
    <mergeCell ref="C129:C131"/>
    <mergeCell ref="D129:D131"/>
    <mergeCell ref="F129:F131"/>
    <mergeCell ref="I129:I131"/>
    <mergeCell ref="J129:J131"/>
    <mergeCell ref="F42:F44"/>
    <mergeCell ref="I42:I44"/>
    <mergeCell ref="J42:J44"/>
    <mergeCell ref="G129:G131"/>
    <mergeCell ref="H129:H131"/>
    <mergeCell ref="C127:D127"/>
    <mergeCell ref="C128:D128"/>
    <mergeCell ref="D108:D110"/>
    <mergeCell ref="F108:F110"/>
    <mergeCell ref="I108:I110"/>
    <mergeCell ref="J108:J110"/>
    <mergeCell ref="C104:C106"/>
    <mergeCell ref="D104:D106"/>
    <mergeCell ref="C121:C123"/>
    <mergeCell ref="F104:F106"/>
    <mergeCell ref="I104:I106"/>
    <mergeCell ref="F139:F141"/>
    <mergeCell ref="I139:I141"/>
    <mergeCell ref="J139:J141"/>
    <mergeCell ref="F136:F138"/>
    <mergeCell ref="I136:I138"/>
    <mergeCell ref="J136:J138"/>
    <mergeCell ref="C133:C135"/>
    <mergeCell ref="D133:D135"/>
    <mergeCell ref="F133:F135"/>
    <mergeCell ref="I133:I135"/>
    <mergeCell ref="J133:J135"/>
    <mergeCell ref="G133:G135"/>
    <mergeCell ref="H133:H135"/>
    <mergeCell ref="G136:G138"/>
    <mergeCell ref="H136:H138"/>
    <mergeCell ref="G139:G141"/>
    <mergeCell ref="H139:H141"/>
    <mergeCell ref="F149:F151"/>
    <mergeCell ref="I149:I151"/>
    <mergeCell ref="J149:J151"/>
    <mergeCell ref="F146:F148"/>
    <mergeCell ref="I146:I148"/>
    <mergeCell ref="J146:J148"/>
    <mergeCell ref="C143:C145"/>
    <mergeCell ref="D143:D145"/>
    <mergeCell ref="F143:F145"/>
    <mergeCell ref="I143:I145"/>
    <mergeCell ref="J143:J145"/>
    <mergeCell ref="G143:G145"/>
    <mergeCell ref="H143:H145"/>
    <mergeCell ref="G146:G148"/>
    <mergeCell ref="H146:H148"/>
    <mergeCell ref="G149:G151"/>
    <mergeCell ref="H149:H151"/>
    <mergeCell ref="F156:F158"/>
    <mergeCell ref="I156:I158"/>
    <mergeCell ref="J156:J158"/>
    <mergeCell ref="C152:C154"/>
    <mergeCell ref="D152:D154"/>
    <mergeCell ref="F152:F154"/>
    <mergeCell ref="I152:I154"/>
    <mergeCell ref="J152:J154"/>
    <mergeCell ref="G152:G154"/>
    <mergeCell ref="H152:H154"/>
    <mergeCell ref="G156:G158"/>
    <mergeCell ref="H156:H158"/>
    <mergeCell ref="F166:F168"/>
    <mergeCell ref="I166:I168"/>
    <mergeCell ref="J166:J168"/>
    <mergeCell ref="F163:F165"/>
    <mergeCell ref="I163:I165"/>
    <mergeCell ref="J163:J165"/>
    <mergeCell ref="C159:C161"/>
    <mergeCell ref="D159:D161"/>
    <mergeCell ref="F159:F161"/>
    <mergeCell ref="I159:I161"/>
    <mergeCell ref="J159:J161"/>
    <mergeCell ref="G159:G161"/>
    <mergeCell ref="H159:H161"/>
    <mergeCell ref="G163:G165"/>
    <mergeCell ref="H163:H165"/>
    <mergeCell ref="G166:G168"/>
    <mergeCell ref="H166:H168"/>
    <mergeCell ref="E166:E168"/>
    <mergeCell ref="E163:E165"/>
    <mergeCell ref="C181:C183"/>
    <mergeCell ref="D181:D183"/>
    <mergeCell ref="F181:F183"/>
    <mergeCell ref="I181:I183"/>
    <mergeCell ref="J181:J183"/>
    <mergeCell ref="F176:F178"/>
    <mergeCell ref="I176:I178"/>
    <mergeCell ref="J176:J178"/>
    <mergeCell ref="C169:C171"/>
    <mergeCell ref="D169:D171"/>
    <mergeCell ref="F169:F171"/>
    <mergeCell ref="I169:I171"/>
    <mergeCell ref="J169:J171"/>
    <mergeCell ref="G169:G171"/>
    <mergeCell ref="H169:H171"/>
    <mergeCell ref="G176:G178"/>
    <mergeCell ref="H176:H178"/>
    <mergeCell ref="G181:G183"/>
    <mergeCell ref="H181:H183"/>
    <mergeCell ref="E169:E171"/>
    <mergeCell ref="E176:E178"/>
    <mergeCell ref="E181:E183"/>
    <mergeCell ref="C187:C189"/>
    <mergeCell ref="D187:D189"/>
    <mergeCell ref="F187:F189"/>
    <mergeCell ref="I187:I189"/>
    <mergeCell ref="J187:J189"/>
    <mergeCell ref="C184:C186"/>
    <mergeCell ref="D184:D186"/>
    <mergeCell ref="F184:F186"/>
    <mergeCell ref="I184:I186"/>
    <mergeCell ref="J184:J186"/>
    <mergeCell ref="G184:G186"/>
    <mergeCell ref="H184:H186"/>
    <mergeCell ref="G187:G189"/>
    <mergeCell ref="H187:H189"/>
    <mergeCell ref="C191:C193"/>
    <mergeCell ref="D191:D193"/>
    <mergeCell ref="F191:F193"/>
    <mergeCell ref="I191:I193"/>
    <mergeCell ref="J191:J193"/>
    <mergeCell ref="G191:G193"/>
    <mergeCell ref="H191:H193"/>
    <mergeCell ref="E184:E186"/>
    <mergeCell ref="E187:E189"/>
    <mergeCell ref="E191:E193"/>
    <mergeCell ref="C204:C206"/>
    <mergeCell ref="D204:D206"/>
    <mergeCell ref="F204:F206"/>
    <mergeCell ref="I204:I206"/>
    <mergeCell ref="J204:J206"/>
    <mergeCell ref="G204:G206"/>
    <mergeCell ref="H204:H206"/>
    <mergeCell ref="F210:F212"/>
    <mergeCell ref="E204:E206"/>
    <mergeCell ref="C194:C196"/>
    <mergeCell ref="D194:D196"/>
    <mergeCell ref="F194:F196"/>
    <mergeCell ref="I194:I196"/>
    <mergeCell ref="J194:J196"/>
    <mergeCell ref="G194:G196"/>
    <mergeCell ref="H194:H196"/>
    <mergeCell ref="C201:C203"/>
    <mergeCell ref="D201:D203"/>
    <mergeCell ref="F201:F203"/>
    <mergeCell ref="I201:I203"/>
    <mergeCell ref="J201:J203"/>
    <mergeCell ref="C197:C199"/>
    <mergeCell ref="D197:D199"/>
    <mergeCell ref="F197:F199"/>
    <mergeCell ref="I197:I199"/>
    <mergeCell ref="J197:J199"/>
    <mergeCell ref="G197:G199"/>
    <mergeCell ref="H197:H199"/>
    <mergeCell ref="G201:G203"/>
    <mergeCell ref="H201:H203"/>
    <mergeCell ref="E194:E196"/>
    <mergeCell ref="E197:E199"/>
    <mergeCell ref="C221:C223"/>
    <mergeCell ref="D221:D223"/>
    <mergeCell ref="F221:F223"/>
    <mergeCell ref="I221:I223"/>
    <mergeCell ref="J221:J223"/>
    <mergeCell ref="G221:G223"/>
    <mergeCell ref="H221:H223"/>
    <mergeCell ref="C227:C229"/>
    <mergeCell ref="D227:D229"/>
    <mergeCell ref="F227:F229"/>
    <mergeCell ref="I227:I229"/>
    <mergeCell ref="J227:J229"/>
    <mergeCell ref="I210:I212"/>
    <mergeCell ref="J210:J212"/>
    <mergeCell ref="C207:C209"/>
    <mergeCell ref="D207:D209"/>
    <mergeCell ref="F207:F209"/>
    <mergeCell ref="I207:I209"/>
    <mergeCell ref="J207:J209"/>
    <mergeCell ref="D214:D216"/>
    <mergeCell ref="F214:F216"/>
    <mergeCell ref="I214:I216"/>
    <mergeCell ref="J214:J216"/>
    <mergeCell ref="C210:C212"/>
    <mergeCell ref="D210:D212"/>
    <mergeCell ref="E207:E209"/>
    <mergeCell ref="E210:E212"/>
    <mergeCell ref="E214:E216"/>
    <mergeCell ref="E217:E219"/>
    <mergeCell ref="E221:E223"/>
    <mergeCell ref="E224:E226"/>
    <mergeCell ref="E227:E229"/>
    <mergeCell ref="C230:D230"/>
    <mergeCell ref="C224:C226"/>
    <mergeCell ref="D224:D226"/>
    <mergeCell ref="F224:F226"/>
    <mergeCell ref="I224:I226"/>
    <mergeCell ref="J224:J226"/>
    <mergeCell ref="G224:G226"/>
    <mergeCell ref="H224:H226"/>
    <mergeCell ref="G227:G229"/>
    <mergeCell ref="H227:H229"/>
    <mergeCell ref="C234:C236"/>
    <mergeCell ref="D234:D236"/>
    <mergeCell ref="F234:F236"/>
    <mergeCell ref="I234:I236"/>
    <mergeCell ref="J234:J236"/>
    <mergeCell ref="C231:C233"/>
    <mergeCell ref="D231:D233"/>
    <mergeCell ref="F231:F233"/>
    <mergeCell ref="I231:I233"/>
    <mergeCell ref="J231:J233"/>
    <mergeCell ref="G231:G233"/>
    <mergeCell ref="H231:H233"/>
    <mergeCell ref="G234:G236"/>
    <mergeCell ref="H234:H236"/>
    <mergeCell ref="E231:E233"/>
    <mergeCell ref="E234:E236"/>
    <mergeCell ref="I240:I242"/>
    <mergeCell ref="J240:J242"/>
    <mergeCell ref="C243:D243"/>
    <mergeCell ref="C237:C239"/>
    <mergeCell ref="D237:D239"/>
    <mergeCell ref="F237:F239"/>
    <mergeCell ref="I237:I239"/>
    <mergeCell ref="J237:J239"/>
    <mergeCell ref="G237:G239"/>
    <mergeCell ref="H237:H239"/>
    <mergeCell ref="G240:G242"/>
    <mergeCell ref="H240:H242"/>
    <mergeCell ref="C247:C249"/>
    <mergeCell ref="D247:D249"/>
    <mergeCell ref="F247:F249"/>
    <mergeCell ref="I247:I249"/>
    <mergeCell ref="J247:J249"/>
    <mergeCell ref="C244:C246"/>
    <mergeCell ref="D244:D246"/>
    <mergeCell ref="F244:F246"/>
    <mergeCell ref="I244:I246"/>
    <mergeCell ref="J244:J246"/>
    <mergeCell ref="G244:G246"/>
    <mergeCell ref="H244:H246"/>
    <mergeCell ref="G247:G249"/>
    <mergeCell ref="H247:H249"/>
    <mergeCell ref="E237:E239"/>
    <mergeCell ref="E240:E242"/>
    <mergeCell ref="E244:E246"/>
    <mergeCell ref="E247:E249"/>
    <mergeCell ref="J254:J256"/>
    <mergeCell ref="C250:C252"/>
    <mergeCell ref="D250:D252"/>
    <mergeCell ref="F250:F252"/>
    <mergeCell ref="I250:I252"/>
    <mergeCell ref="J250:J252"/>
    <mergeCell ref="G250:G252"/>
    <mergeCell ref="H250:H252"/>
    <mergeCell ref="G254:G256"/>
    <mergeCell ref="H254:H256"/>
    <mergeCell ref="C257:C259"/>
    <mergeCell ref="D257:D259"/>
    <mergeCell ref="F257:F259"/>
    <mergeCell ref="I257:I259"/>
    <mergeCell ref="J257:J259"/>
    <mergeCell ref="G257:G259"/>
    <mergeCell ref="H257:H259"/>
    <mergeCell ref="E250:E252"/>
    <mergeCell ref="E254:E256"/>
    <mergeCell ref="E257:E259"/>
    <mergeCell ref="C253:D253"/>
    <mergeCell ref="J260:J262"/>
    <mergeCell ref="G260:G262"/>
    <mergeCell ref="H260:H262"/>
    <mergeCell ref="G263:G265"/>
    <mergeCell ref="H263:H265"/>
    <mergeCell ref="C269:C271"/>
    <mergeCell ref="D269:D271"/>
    <mergeCell ref="F269:F271"/>
    <mergeCell ref="I269:I271"/>
    <mergeCell ref="J269:J271"/>
    <mergeCell ref="C266:C268"/>
    <mergeCell ref="D266:D268"/>
    <mergeCell ref="F266:F268"/>
    <mergeCell ref="I266:I268"/>
    <mergeCell ref="J266:J268"/>
    <mergeCell ref="G266:G268"/>
    <mergeCell ref="H266:H268"/>
    <mergeCell ref="G269:G271"/>
    <mergeCell ref="H269:H271"/>
    <mergeCell ref="E260:E262"/>
    <mergeCell ref="E263:E265"/>
    <mergeCell ref="E266:E268"/>
    <mergeCell ref="E269:E271"/>
    <mergeCell ref="J272:J274"/>
    <mergeCell ref="G272:G274"/>
    <mergeCell ref="H272:H274"/>
    <mergeCell ref="G283:G285"/>
    <mergeCell ref="H283:H285"/>
    <mergeCell ref="C286:C288"/>
    <mergeCell ref="D286:D288"/>
    <mergeCell ref="F286:F288"/>
    <mergeCell ref="I286:I288"/>
    <mergeCell ref="J286:J288"/>
    <mergeCell ref="G286:G288"/>
    <mergeCell ref="H286:H288"/>
    <mergeCell ref="E272:E274"/>
    <mergeCell ref="E283:E285"/>
    <mergeCell ref="E286:E288"/>
    <mergeCell ref="J278:J280"/>
    <mergeCell ref="C263:C265"/>
    <mergeCell ref="D263:D265"/>
    <mergeCell ref="F263:F265"/>
    <mergeCell ref="I263:I265"/>
    <mergeCell ref="J263:J265"/>
    <mergeCell ref="C317:C319"/>
    <mergeCell ref="D317:D319"/>
    <mergeCell ref="F317:F319"/>
    <mergeCell ref="I317:I319"/>
    <mergeCell ref="J317:J319"/>
    <mergeCell ref="C314:C316"/>
    <mergeCell ref="D314:D316"/>
    <mergeCell ref="F314:F316"/>
    <mergeCell ref="I314:I316"/>
    <mergeCell ref="J314:J316"/>
    <mergeCell ref="G314:G316"/>
    <mergeCell ref="H314:H316"/>
    <mergeCell ref="G317:G319"/>
    <mergeCell ref="H317:H319"/>
    <mergeCell ref="E289:E291"/>
    <mergeCell ref="C301:C303"/>
    <mergeCell ref="D301:D303"/>
    <mergeCell ref="E301:E303"/>
    <mergeCell ref="C295:C297"/>
    <mergeCell ref="D295:D297"/>
    <mergeCell ref="E295:E297"/>
    <mergeCell ref="F295:F297"/>
    <mergeCell ref="G295:G297"/>
    <mergeCell ref="H295:H297"/>
    <mergeCell ref="E314:E316"/>
    <mergeCell ref="E317:E319"/>
    <mergeCell ref="E292:E294"/>
    <mergeCell ref="I295:I297"/>
    <mergeCell ref="J295:J297"/>
    <mergeCell ref="C298:C300"/>
    <mergeCell ref="D298:D300"/>
    <mergeCell ref="E298:E300"/>
    <mergeCell ref="C329:C331"/>
    <mergeCell ref="D329:D331"/>
    <mergeCell ref="F329:F331"/>
    <mergeCell ref="I329:I331"/>
    <mergeCell ref="J329:J331"/>
    <mergeCell ref="C326:C328"/>
    <mergeCell ref="D326:D328"/>
    <mergeCell ref="F326:F328"/>
    <mergeCell ref="I326:I328"/>
    <mergeCell ref="J326:J328"/>
    <mergeCell ref="G326:G328"/>
    <mergeCell ref="H326:H328"/>
    <mergeCell ref="G329:G331"/>
    <mergeCell ref="H329:H331"/>
    <mergeCell ref="C321:C323"/>
    <mergeCell ref="D321:D323"/>
    <mergeCell ref="F321:F323"/>
    <mergeCell ref="I321:I323"/>
    <mergeCell ref="J321:J323"/>
    <mergeCell ref="G321:G323"/>
    <mergeCell ref="H321:H323"/>
    <mergeCell ref="E321:E323"/>
    <mergeCell ref="E326:E328"/>
    <mergeCell ref="E329:E331"/>
    <mergeCell ref="C335:C337"/>
    <mergeCell ref="D335:D337"/>
    <mergeCell ref="F335:F337"/>
    <mergeCell ref="I335:I337"/>
    <mergeCell ref="J335:J337"/>
    <mergeCell ref="C332:C334"/>
    <mergeCell ref="D332:D334"/>
    <mergeCell ref="F332:F334"/>
    <mergeCell ref="I332:I334"/>
    <mergeCell ref="J332:J334"/>
    <mergeCell ref="G332:G334"/>
    <mergeCell ref="H332:H334"/>
    <mergeCell ref="G335:G337"/>
    <mergeCell ref="H335:H337"/>
    <mergeCell ref="C338:C340"/>
    <mergeCell ref="D338:D340"/>
    <mergeCell ref="F338:F340"/>
    <mergeCell ref="I338:I340"/>
    <mergeCell ref="J338:J340"/>
    <mergeCell ref="G338:G340"/>
    <mergeCell ref="H338:H340"/>
    <mergeCell ref="E332:E334"/>
    <mergeCell ref="E335:E337"/>
    <mergeCell ref="E338:E340"/>
    <mergeCell ref="C346:C348"/>
    <mergeCell ref="D346:D348"/>
    <mergeCell ref="F346:F348"/>
    <mergeCell ref="I346:I348"/>
    <mergeCell ref="J346:J348"/>
    <mergeCell ref="C342:C344"/>
    <mergeCell ref="D342:D344"/>
    <mergeCell ref="F342:F344"/>
    <mergeCell ref="I342:I344"/>
    <mergeCell ref="J342:J344"/>
    <mergeCell ref="G342:G344"/>
    <mergeCell ref="H342:H344"/>
    <mergeCell ref="G346:G348"/>
    <mergeCell ref="H346:H348"/>
    <mergeCell ref="C352:C354"/>
    <mergeCell ref="D352:D354"/>
    <mergeCell ref="F352:F354"/>
    <mergeCell ref="I352:I354"/>
    <mergeCell ref="J352:J354"/>
    <mergeCell ref="C349:C351"/>
    <mergeCell ref="D349:D351"/>
    <mergeCell ref="F349:F351"/>
    <mergeCell ref="I349:I351"/>
    <mergeCell ref="J349:J351"/>
    <mergeCell ref="G349:G351"/>
    <mergeCell ref="H349:H351"/>
    <mergeCell ref="G352:G354"/>
    <mergeCell ref="H352:H354"/>
    <mergeCell ref="E349:E351"/>
    <mergeCell ref="E352:E354"/>
    <mergeCell ref="E342:E344"/>
    <mergeCell ref="E346:E348"/>
    <mergeCell ref="C359:C361"/>
    <mergeCell ref="D359:D361"/>
    <mergeCell ref="F359:F361"/>
    <mergeCell ref="I359:I361"/>
    <mergeCell ref="J359:J361"/>
    <mergeCell ref="C355:C357"/>
    <mergeCell ref="D355:D357"/>
    <mergeCell ref="F355:F357"/>
    <mergeCell ref="I355:I357"/>
    <mergeCell ref="J355:J357"/>
    <mergeCell ref="C358:D358"/>
    <mergeCell ref="G355:G357"/>
    <mergeCell ref="H355:H357"/>
    <mergeCell ref="G359:G361"/>
    <mergeCell ref="H359:H361"/>
    <mergeCell ref="C365:C367"/>
    <mergeCell ref="D365:D367"/>
    <mergeCell ref="F365:F367"/>
    <mergeCell ref="I365:I367"/>
    <mergeCell ref="J365:J367"/>
    <mergeCell ref="C362:C364"/>
    <mergeCell ref="D362:D364"/>
    <mergeCell ref="F362:F364"/>
    <mergeCell ref="I362:I364"/>
    <mergeCell ref="J362:J364"/>
    <mergeCell ref="G362:G364"/>
    <mergeCell ref="H362:H364"/>
    <mergeCell ref="G365:G367"/>
    <mergeCell ref="H365:H367"/>
    <mergeCell ref="E355:E357"/>
    <mergeCell ref="E359:E361"/>
    <mergeCell ref="E362:E364"/>
    <mergeCell ref="C372:C374"/>
    <mergeCell ref="D372:D374"/>
    <mergeCell ref="F372:F374"/>
    <mergeCell ref="I372:I374"/>
    <mergeCell ref="J372:J374"/>
    <mergeCell ref="C369:C371"/>
    <mergeCell ref="D369:D371"/>
    <mergeCell ref="F369:F371"/>
    <mergeCell ref="I369:I371"/>
    <mergeCell ref="J369:J371"/>
    <mergeCell ref="G369:G371"/>
    <mergeCell ref="H369:H371"/>
    <mergeCell ref="G372:G374"/>
    <mergeCell ref="H372:H374"/>
    <mergeCell ref="C376:C378"/>
    <mergeCell ref="D376:D378"/>
    <mergeCell ref="F376:F378"/>
    <mergeCell ref="I376:I378"/>
    <mergeCell ref="J376:J378"/>
    <mergeCell ref="G376:G378"/>
    <mergeCell ref="H376:H378"/>
    <mergeCell ref="C383:C385"/>
    <mergeCell ref="D383:D385"/>
    <mergeCell ref="F383:F385"/>
    <mergeCell ref="I383:I385"/>
    <mergeCell ref="J383:J385"/>
    <mergeCell ref="C379:C381"/>
    <mergeCell ref="D379:D381"/>
    <mergeCell ref="F379:F381"/>
    <mergeCell ref="I379:I381"/>
    <mergeCell ref="J379:J381"/>
    <mergeCell ref="G379:G381"/>
    <mergeCell ref="H379:H381"/>
    <mergeCell ref="G383:G385"/>
    <mergeCell ref="H383:H385"/>
    <mergeCell ref="C389:C391"/>
    <mergeCell ref="D389:D391"/>
    <mergeCell ref="F389:F391"/>
    <mergeCell ref="I389:I391"/>
    <mergeCell ref="J389:J391"/>
    <mergeCell ref="C386:C388"/>
    <mergeCell ref="D386:D388"/>
    <mergeCell ref="F386:F388"/>
    <mergeCell ref="I386:I388"/>
    <mergeCell ref="J386:J388"/>
    <mergeCell ref="G386:G388"/>
    <mergeCell ref="H386:H388"/>
    <mergeCell ref="G389:G391"/>
    <mergeCell ref="H389:H391"/>
    <mergeCell ref="E379:E381"/>
    <mergeCell ref="E383:E385"/>
    <mergeCell ref="E386:E388"/>
    <mergeCell ref="E389:E391"/>
    <mergeCell ref="G403:G405"/>
    <mergeCell ref="H403:H405"/>
    <mergeCell ref="G406:G408"/>
    <mergeCell ref="H406:H408"/>
    <mergeCell ref="F414:F416"/>
    <mergeCell ref="I414:I416"/>
    <mergeCell ref="J414:J416"/>
    <mergeCell ref="C411:C413"/>
    <mergeCell ref="D411:D413"/>
    <mergeCell ref="F411:F413"/>
    <mergeCell ref="I411:I413"/>
    <mergeCell ref="J411:J413"/>
    <mergeCell ref="G411:G413"/>
    <mergeCell ref="H411:H413"/>
    <mergeCell ref="G414:G416"/>
    <mergeCell ref="H414:H416"/>
    <mergeCell ref="C396:C398"/>
    <mergeCell ref="D396:D398"/>
    <mergeCell ref="F396:F398"/>
    <mergeCell ref="I396:I398"/>
    <mergeCell ref="J396:J398"/>
    <mergeCell ref="D406:D408"/>
    <mergeCell ref="F406:F408"/>
    <mergeCell ref="I406:I408"/>
    <mergeCell ref="J406:J408"/>
    <mergeCell ref="C403:C405"/>
    <mergeCell ref="D403:D405"/>
    <mergeCell ref="F403:F405"/>
    <mergeCell ref="I403:I405"/>
    <mergeCell ref="J403:J405"/>
    <mergeCell ref="G396:G398"/>
    <mergeCell ref="H396:H398"/>
    <mergeCell ref="C393:C395"/>
    <mergeCell ref="D393:D395"/>
    <mergeCell ref="F393:F395"/>
    <mergeCell ref="I393:I395"/>
    <mergeCell ref="J393:J395"/>
    <mergeCell ref="C156:C158"/>
    <mergeCell ref="D156:D158"/>
    <mergeCell ref="C146:C148"/>
    <mergeCell ref="D146:D148"/>
    <mergeCell ref="C136:C138"/>
    <mergeCell ref="D136:D138"/>
    <mergeCell ref="C166:C168"/>
    <mergeCell ref="D166:D168"/>
    <mergeCell ref="C149:C151"/>
    <mergeCell ref="D149:D151"/>
    <mergeCell ref="C139:C141"/>
    <mergeCell ref="D139:D141"/>
    <mergeCell ref="G393:G395"/>
    <mergeCell ref="H393:H395"/>
    <mergeCell ref="F173:F175"/>
    <mergeCell ref="G173:G175"/>
    <mergeCell ref="H173:H175"/>
    <mergeCell ref="I173:I175"/>
    <mergeCell ref="J173:J175"/>
    <mergeCell ref="C275:C277"/>
    <mergeCell ref="D275:D277"/>
    <mergeCell ref="E275:E277"/>
    <mergeCell ref="F275:F277"/>
    <mergeCell ref="G275:G277"/>
    <mergeCell ref="H275:H277"/>
    <mergeCell ref="I275:I277"/>
    <mergeCell ref="J275:J277"/>
    <mergeCell ref="C429:C431"/>
    <mergeCell ref="D429:D431"/>
    <mergeCell ref="F429:F431"/>
    <mergeCell ref="I429:I431"/>
    <mergeCell ref="J429:J431"/>
    <mergeCell ref="C422:C424"/>
    <mergeCell ref="D422:D424"/>
    <mergeCell ref="F422:F424"/>
    <mergeCell ref="I422:I424"/>
    <mergeCell ref="J422:J424"/>
    <mergeCell ref="C190:D190"/>
    <mergeCell ref="C200:D200"/>
    <mergeCell ref="C213:D213"/>
    <mergeCell ref="C220:D220"/>
    <mergeCell ref="C217:C219"/>
    <mergeCell ref="D217:D219"/>
    <mergeCell ref="F217:F219"/>
    <mergeCell ref="I217:I219"/>
    <mergeCell ref="J217:J219"/>
    <mergeCell ref="C214:C216"/>
    <mergeCell ref="C325:D325"/>
    <mergeCell ref="C341:D341"/>
    <mergeCell ref="C345:D345"/>
    <mergeCell ref="C421:L421"/>
    <mergeCell ref="C418:C420"/>
    <mergeCell ref="D418:D420"/>
    <mergeCell ref="F418:F420"/>
    <mergeCell ref="I418:I420"/>
    <mergeCell ref="J418:J420"/>
    <mergeCell ref="C414:C416"/>
    <mergeCell ref="D414:D416"/>
    <mergeCell ref="C406:C408"/>
    <mergeCell ref="C9:N9"/>
    <mergeCell ref="C12:N12"/>
    <mergeCell ref="C26:D26"/>
    <mergeCell ref="C45:D45"/>
    <mergeCell ref="C13:N13"/>
    <mergeCell ref="I14:I16"/>
    <mergeCell ref="C17:C19"/>
    <mergeCell ref="I17:I19"/>
    <mergeCell ref="C20:C22"/>
    <mergeCell ref="F20:F22"/>
    <mergeCell ref="I20:I22"/>
    <mergeCell ref="H20:H22"/>
    <mergeCell ref="G27:G29"/>
    <mergeCell ref="H27:H29"/>
    <mergeCell ref="G30:G32"/>
    <mergeCell ref="H30:H32"/>
    <mergeCell ref="G33:G35"/>
    <mergeCell ref="H33:H35"/>
    <mergeCell ref="G36:G38"/>
    <mergeCell ref="C36:C38"/>
    <mergeCell ref="F36:F38"/>
    <mergeCell ref="I36:I38"/>
    <mergeCell ref="J36:J38"/>
    <mergeCell ref="H36:H38"/>
    <mergeCell ref="H39:H41"/>
    <mergeCell ref="I33:I35"/>
    <mergeCell ref="J33:J35"/>
    <mergeCell ref="D36:D38"/>
    <mergeCell ref="D33:D35"/>
    <mergeCell ref="D10:F10"/>
    <mergeCell ref="D11:F11"/>
    <mergeCell ref="J14:J16"/>
    <mergeCell ref="C399:C401"/>
    <mergeCell ref="D399:D401"/>
    <mergeCell ref="F399:F401"/>
    <mergeCell ref="I399:I401"/>
    <mergeCell ref="J399:J401"/>
    <mergeCell ref="G399:G401"/>
    <mergeCell ref="H399:H401"/>
    <mergeCell ref="C64:D64"/>
    <mergeCell ref="C71:D71"/>
    <mergeCell ref="C72:D72"/>
    <mergeCell ref="C68:C70"/>
    <mergeCell ref="D68:D70"/>
    <mergeCell ref="F68:F70"/>
    <mergeCell ref="C49:D49"/>
    <mergeCell ref="G51:G53"/>
    <mergeCell ref="H51:H53"/>
    <mergeCell ref="G55:G57"/>
    <mergeCell ref="H55:H57"/>
    <mergeCell ref="G58:G60"/>
    <mergeCell ref="H58:H60"/>
    <mergeCell ref="G61:G63"/>
    <mergeCell ref="H61:H63"/>
    <mergeCell ref="E65:E67"/>
    <mergeCell ref="E68:E70"/>
    <mergeCell ref="F61:F63"/>
    <mergeCell ref="G121:G123"/>
    <mergeCell ref="H121:H123"/>
    <mergeCell ref="I121:I123"/>
    <mergeCell ref="J121:J123"/>
    <mergeCell ref="C173:C175"/>
    <mergeCell ref="D173:D175"/>
    <mergeCell ref="E173:E175"/>
    <mergeCell ref="C132:D132"/>
    <mergeCell ref="C142:D142"/>
    <mergeCell ref="C155:D155"/>
    <mergeCell ref="C172:D172"/>
    <mergeCell ref="C179:D179"/>
    <mergeCell ref="C180:D180"/>
    <mergeCell ref="C176:C178"/>
    <mergeCell ref="D176:D178"/>
    <mergeCell ref="C163:C165"/>
    <mergeCell ref="D163:D165"/>
    <mergeCell ref="C278:C280"/>
    <mergeCell ref="D278:D280"/>
    <mergeCell ref="E278:E280"/>
    <mergeCell ref="F278:F280"/>
    <mergeCell ref="G278:G280"/>
    <mergeCell ref="H278:H280"/>
    <mergeCell ref="I278:I280"/>
    <mergeCell ref="C272:C274"/>
    <mergeCell ref="D272:D274"/>
    <mergeCell ref="F272:F274"/>
    <mergeCell ref="I272:I274"/>
    <mergeCell ref="C260:C262"/>
    <mergeCell ref="D260:D262"/>
    <mergeCell ref="F260:F262"/>
    <mergeCell ref="I260:I262"/>
    <mergeCell ref="C254:C256"/>
    <mergeCell ref="D254:D256"/>
    <mergeCell ref="F254:F256"/>
    <mergeCell ref="I254:I256"/>
    <mergeCell ref="C240:C242"/>
    <mergeCell ref="D240:D242"/>
    <mergeCell ref="F240:F242"/>
    <mergeCell ref="F298:F300"/>
    <mergeCell ref="G298:G300"/>
    <mergeCell ref="H298:H300"/>
    <mergeCell ref="I298:I300"/>
    <mergeCell ref="J298:J300"/>
    <mergeCell ref="C281:D281"/>
    <mergeCell ref="C282:D282"/>
    <mergeCell ref="C292:C294"/>
    <mergeCell ref="D292:D294"/>
    <mergeCell ref="F292:F294"/>
    <mergeCell ref="I292:I294"/>
    <mergeCell ref="J292:J294"/>
    <mergeCell ref="C289:C291"/>
    <mergeCell ref="D289:D291"/>
    <mergeCell ref="F289:F291"/>
    <mergeCell ref="I289:I291"/>
    <mergeCell ref="J289:J291"/>
    <mergeCell ref="G289:G291"/>
    <mergeCell ref="H289:H291"/>
    <mergeCell ref="G292:G294"/>
    <mergeCell ref="H292:H294"/>
    <mergeCell ref="C283:C285"/>
    <mergeCell ref="D283:D285"/>
    <mergeCell ref="F283:F285"/>
    <mergeCell ref="I283:I285"/>
    <mergeCell ref="J283:J285"/>
    <mergeCell ref="F301:F303"/>
    <mergeCell ref="G301:G303"/>
    <mergeCell ref="H301:H303"/>
    <mergeCell ref="I301:I303"/>
    <mergeCell ref="J301:J303"/>
    <mergeCell ref="C304:C306"/>
    <mergeCell ref="D304:D306"/>
    <mergeCell ref="E304:E306"/>
    <mergeCell ref="F304:F306"/>
    <mergeCell ref="G304:G306"/>
    <mergeCell ref="H304:H306"/>
    <mergeCell ref="I304:I306"/>
    <mergeCell ref="J304:J306"/>
    <mergeCell ref="C307:C309"/>
    <mergeCell ref="D307:D309"/>
    <mergeCell ref="E307:E309"/>
    <mergeCell ref="F307:F309"/>
    <mergeCell ref="G307:G309"/>
    <mergeCell ref="H307:H309"/>
    <mergeCell ref="I307:I309"/>
    <mergeCell ref="J307:J309"/>
    <mergeCell ref="C432:C434"/>
    <mergeCell ref="D432:D434"/>
    <mergeCell ref="E432:E434"/>
    <mergeCell ref="F432:F434"/>
    <mergeCell ref="G432:G434"/>
    <mergeCell ref="H432:H434"/>
    <mergeCell ref="I432:I434"/>
    <mergeCell ref="J432:J434"/>
    <mergeCell ref="C320:D320"/>
    <mergeCell ref="C310:C312"/>
    <mergeCell ref="D310:D312"/>
    <mergeCell ref="E310:E312"/>
    <mergeCell ref="F310:F312"/>
    <mergeCell ref="G310:G312"/>
    <mergeCell ref="H310:H312"/>
    <mergeCell ref="I310:I312"/>
    <mergeCell ref="J310:J312"/>
    <mergeCell ref="C425:C427"/>
    <mergeCell ref="D425:D427"/>
    <mergeCell ref="E425:E427"/>
    <mergeCell ref="F425:F427"/>
    <mergeCell ref="G425:G427"/>
    <mergeCell ref="H425:H427"/>
    <mergeCell ref="I425:I427"/>
    <mergeCell ref="J425:J427"/>
    <mergeCell ref="C368:D368"/>
    <mergeCell ref="C375:D375"/>
    <mergeCell ref="C382:D382"/>
    <mergeCell ref="C392:D392"/>
    <mergeCell ref="C402:D402"/>
    <mergeCell ref="C313:D313"/>
    <mergeCell ref="C324:D324"/>
  </mergeCells>
  <phoneticPr fontId="28" type="noConversion"/>
  <conditionalFormatting sqref="H14:AC16">
    <cfRule type="expression" dxfId="321" priority="527">
      <formula>$G$14=""</formula>
    </cfRule>
    <cfRule type="expression" dxfId="320" priority="562">
      <formula>$G$14="Yes"</formula>
    </cfRule>
  </conditionalFormatting>
  <conditionalFormatting sqref="H17:AC19">
    <cfRule type="expression" dxfId="319" priority="525">
      <formula>$G$17=""</formula>
    </cfRule>
    <cfRule type="expression" dxfId="318" priority="526">
      <formula>$G$17="Yes"</formula>
    </cfRule>
  </conditionalFormatting>
  <conditionalFormatting sqref="H20:AC22">
    <cfRule type="expression" dxfId="317" priority="523">
      <formula>$G$20=""</formula>
    </cfRule>
    <cfRule type="expression" dxfId="316" priority="524">
      <formula>$G$20="Yes"</formula>
    </cfRule>
  </conditionalFormatting>
  <conditionalFormatting sqref="H46:AC48">
    <cfRule type="expression" dxfId="315" priority="507">
      <formula>$G$46=""</formula>
    </cfRule>
    <cfRule type="expression" dxfId="314" priority="508">
      <formula>$G$46="Yes"</formula>
    </cfRule>
  </conditionalFormatting>
  <conditionalFormatting sqref="H51:AC53">
    <cfRule type="expression" dxfId="313" priority="449">
      <formula>$G$51=""</formula>
    </cfRule>
    <cfRule type="expression" dxfId="312" priority="450">
      <formula>$G$51="Yes"</formula>
    </cfRule>
  </conditionalFormatting>
  <conditionalFormatting sqref="H55:AC57">
    <cfRule type="expression" dxfId="311" priority="445">
      <formula>$G$55=""</formula>
    </cfRule>
    <cfRule type="expression" dxfId="310" priority="446">
      <formula>$G$55="Yes"</formula>
    </cfRule>
  </conditionalFormatting>
  <conditionalFormatting sqref="H58:AC60">
    <cfRule type="expression" dxfId="309" priority="443">
      <formula>$G$58=""</formula>
    </cfRule>
    <cfRule type="expression" dxfId="308" priority="444">
      <formula>$G$58="Yes"</formula>
    </cfRule>
  </conditionalFormatting>
  <conditionalFormatting sqref="H61:AC63">
    <cfRule type="expression" dxfId="307" priority="441">
      <formula>$G$61=""</formula>
    </cfRule>
    <cfRule type="expression" dxfId="306" priority="442">
      <formula>$G$61="Yes"</formula>
    </cfRule>
  </conditionalFormatting>
  <conditionalFormatting sqref="H65:AC67">
    <cfRule type="expression" dxfId="305" priority="439">
      <formula>$G$65=""</formula>
    </cfRule>
    <cfRule type="expression" dxfId="304" priority="440">
      <formula>$G$65="Yes"</formula>
    </cfRule>
  </conditionalFormatting>
  <conditionalFormatting sqref="H68:AC70">
    <cfRule type="expression" dxfId="303" priority="437">
      <formula>$G$68=""</formula>
    </cfRule>
    <cfRule type="expression" dxfId="302" priority="438">
      <formula>$G$68="Yes"</formula>
    </cfRule>
  </conditionalFormatting>
  <conditionalFormatting sqref="H73:AC75">
    <cfRule type="expression" dxfId="301" priority="433">
      <formula>$G$73=""</formula>
    </cfRule>
    <cfRule type="expression" dxfId="300" priority="434">
      <formula>$G$73="Yes"</formula>
    </cfRule>
  </conditionalFormatting>
  <conditionalFormatting sqref="H76:AC78">
    <cfRule type="expression" dxfId="299" priority="431">
      <formula>$G$76=""</formula>
    </cfRule>
    <cfRule type="expression" dxfId="298" priority="432">
      <formula>$G$76="Yes"</formula>
    </cfRule>
  </conditionalFormatting>
  <conditionalFormatting sqref="H79:AC81">
    <cfRule type="expression" dxfId="297" priority="429">
      <formula>$G$79=""</formula>
    </cfRule>
    <cfRule type="expression" dxfId="296" priority="430">
      <formula>$G$79="Yes"</formula>
    </cfRule>
  </conditionalFormatting>
  <conditionalFormatting sqref="H83:AC85">
    <cfRule type="expression" dxfId="295" priority="425">
      <formula>$G$83=""</formula>
    </cfRule>
    <cfRule type="expression" dxfId="294" priority="426">
      <formula>$G$83="Yes"</formula>
    </cfRule>
  </conditionalFormatting>
  <conditionalFormatting sqref="H86:AC88">
    <cfRule type="expression" dxfId="293" priority="421">
      <formula>$G$86=""</formula>
    </cfRule>
    <cfRule type="expression" dxfId="292" priority="422">
      <formula>$G$86="Yes"</formula>
    </cfRule>
  </conditionalFormatting>
  <conditionalFormatting sqref="H89:AC91">
    <cfRule type="expression" dxfId="291" priority="419">
      <formula>$G$89=""</formula>
    </cfRule>
    <cfRule type="expression" dxfId="290" priority="420">
      <formula>$G$89="Yes"</formula>
    </cfRule>
  </conditionalFormatting>
  <conditionalFormatting sqref="H92:AC94">
    <cfRule type="expression" dxfId="289" priority="417">
      <formula>$G$92=""</formula>
    </cfRule>
    <cfRule type="expression" dxfId="288" priority="418">
      <formula>$G$92="Yes"</formula>
    </cfRule>
  </conditionalFormatting>
  <conditionalFormatting sqref="H95:AC97">
    <cfRule type="expression" dxfId="287" priority="415">
      <formula>$G$95=""</formula>
    </cfRule>
    <cfRule type="expression" dxfId="286" priority="416">
      <formula>$G$95="Yes"</formula>
    </cfRule>
  </conditionalFormatting>
  <conditionalFormatting sqref="H98:AC103">
    <cfRule type="expression" dxfId="285" priority="409">
      <formula>$G$98=""</formula>
    </cfRule>
    <cfRule type="expression" dxfId="284" priority="410">
      <formula>$G$98="Yes"</formula>
    </cfRule>
  </conditionalFormatting>
  <conditionalFormatting sqref="H101:AC106">
    <cfRule type="expression" dxfId="283" priority="407">
      <formula>$G$104=""</formula>
    </cfRule>
    <cfRule type="expression" dxfId="282" priority="408">
      <formula>$G$104="Yes"</formula>
    </cfRule>
  </conditionalFormatting>
  <conditionalFormatting sqref="H108:AC110">
    <cfRule type="expression" dxfId="281" priority="405">
      <formula>$G$108=""</formula>
    </cfRule>
    <cfRule type="expression" dxfId="280" priority="406">
      <formula>$G$108="Yes"</formula>
    </cfRule>
  </conditionalFormatting>
  <conditionalFormatting sqref="H111:AC113">
    <cfRule type="expression" dxfId="279" priority="403">
      <formula>$G$111=""</formula>
    </cfRule>
    <cfRule type="expression" dxfId="278" priority="404">
      <formula>$G$111="Yes"</formula>
    </cfRule>
  </conditionalFormatting>
  <conditionalFormatting sqref="H114:AC116">
    <cfRule type="expression" dxfId="277" priority="401">
      <formula>$G$114=""</formula>
    </cfRule>
    <cfRule type="expression" dxfId="276" priority="402">
      <formula>$G$114="Yes"</formula>
    </cfRule>
  </conditionalFormatting>
  <conditionalFormatting sqref="H118:AC120">
    <cfRule type="expression" dxfId="275" priority="399">
      <formula>$G$118=""</formula>
    </cfRule>
    <cfRule type="expression" dxfId="274" priority="400">
      <formula>$G$118="Yes"</formula>
    </cfRule>
  </conditionalFormatting>
  <conditionalFormatting sqref="H124:AC126">
    <cfRule type="expression" dxfId="273" priority="397">
      <formula>$G$124=""</formula>
    </cfRule>
    <cfRule type="expression" dxfId="272" priority="398">
      <formula>$G$124="Yes"</formula>
    </cfRule>
  </conditionalFormatting>
  <conditionalFormatting sqref="H42:AC44">
    <cfRule type="expression" dxfId="271" priority="393">
      <formula>$G$42=""</formula>
    </cfRule>
    <cfRule type="expression" dxfId="270" priority="394">
      <formula>$G$42="Yes"</formula>
    </cfRule>
  </conditionalFormatting>
  <conditionalFormatting sqref="H129:AC131">
    <cfRule type="expression" dxfId="269" priority="391">
      <formula>$G$129=""</formula>
    </cfRule>
    <cfRule type="expression" dxfId="268" priority="392">
      <formula>$G$129="Yes"</formula>
    </cfRule>
  </conditionalFormatting>
  <conditionalFormatting sqref="H133:AC135">
    <cfRule type="expression" dxfId="267" priority="389">
      <formula>$G$133=""</formula>
    </cfRule>
    <cfRule type="expression" dxfId="266" priority="390">
      <formula>$G$133="Yes"</formula>
    </cfRule>
  </conditionalFormatting>
  <conditionalFormatting sqref="H136:AC138">
    <cfRule type="expression" dxfId="265" priority="387">
      <formula>$G$136=""</formula>
    </cfRule>
    <cfRule type="expression" dxfId="264" priority="388">
      <formula>$G$136="Yes"</formula>
    </cfRule>
  </conditionalFormatting>
  <conditionalFormatting sqref="H139:AC141">
    <cfRule type="expression" dxfId="263" priority="385">
      <formula>$G$139=""</formula>
    </cfRule>
    <cfRule type="expression" dxfId="262" priority="386">
      <formula>$G$139="Yes"</formula>
    </cfRule>
  </conditionalFormatting>
  <conditionalFormatting sqref="H143:AC145">
    <cfRule type="expression" dxfId="261" priority="383">
      <formula>$G$143=""</formula>
    </cfRule>
    <cfRule type="expression" dxfId="260" priority="384">
      <formula>$G$143="Yes"</formula>
    </cfRule>
  </conditionalFormatting>
  <conditionalFormatting sqref="H146:AC148">
    <cfRule type="expression" dxfId="259" priority="381">
      <formula>$G$146=""</formula>
    </cfRule>
    <cfRule type="expression" dxfId="258" priority="382">
      <formula>$G$146="Yes"</formula>
    </cfRule>
  </conditionalFormatting>
  <conditionalFormatting sqref="H149:AC151">
    <cfRule type="expression" dxfId="257" priority="379">
      <formula>$G$149=""</formula>
    </cfRule>
    <cfRule type="expression" dxfId="256" priority="380">
      <formula>$G$149="Yes"</formula>
    </cfRule>
  </conditionalFormatting>
  <conditionalFormatting sqref="H152:AC154">
    <cfRule type="expression" dxfId="255" priority="377">
      <formula>$G$152=""</formula>
    </cfRule>
    <cfRule type="expression" dxfId="254" priority="378">
      <formula>$G$152="Yes"</formula>
    </cfRule>
  </conditionalFormatting>
  <conditionalFormatting sqref="H156:AC158">
    <cfRule type="expression" dxfId="253" priority="375">
      <formula>$G$156=""</formula>
    </cfRule>
    <cfRule type="expression" dxfId="252" priority="376">
      <formula>$G$156="Yes"</formula>
    </cfRule>
  </conditionalFormatting>
  <conditionalFormatting sqref="H159:AC161">
    <cfRule type="expression" dxfId="251" priority="371">
      <formula>$G$159=""</formula>
    </cfRule>
    <cfRule type="expression" dxfId="250" priority="372">
      <formula>$G$159="Yes"</formula>
    </cfRule>
  </conditionalFormatting>
  <conditionalFormatting sqref="H163:AC165">
    <cfRule type="expression" dxfId="249" priority="369">
      <formula>$G$163=""</formula>
    </cfRule>
    <cfRule type="expression" dxfId="248" priority="370">
      <formula>$G$163="Yes"</formula>
    </cfRule>
  </conditionalFormatting>
  <conditionalFormatting sqref="H166:AC168">
    <cfRule type="expression" dxfId="247" priority="367">
      <formula>$G$166=""</formula>
    </cfRule>
    <cfRule type="expression" dxfId="246" priority="368">
      <formula>$G$166="Yes"</formula>
    </cfRule>
  </conditionalFormatting>
  <conditionalFormatting sqref="H169:AC171">
    <cfRule type="expression" dxfId="245" priority="365">
      <formula>$G$169=""</formula>
    </cfRule>
    <cfRule type="expression" dxfId="244" priority="366">
      <formula>$G$169="Yes"</formula>
    </cfRule>
  </conditionalFormatting>
  <conditionalFormatting sqref="H176:AC178">
    <cfRule type="expression" dxfId="243" priority="363">
      <formula>$G$176=""</formula>
    </cfRule>
    <cfRule type="expression" dxfId="242" priority="364">
      <formula>$G$176="Yes"</formula>
    </cfRule>
  </conditionalFormatting>
  <conditionalFormatting sqref="H181:AC183">
    <cfRule type="expression" dxfId="241" priority="361">
      <formula>$G$181=""</formula>
    </cfRule>
    <cfRule type="expression" dxfId="240" priority="362">
      <formula>$G$181="Yes"</formula>
    </cfRule>
  </conditionalFormatting>
  <conditionalFormatting sqref="H184:AC186">
    <cfRule type="expression" dxfId="239" priority="359">
      <formula>$G$184=""</formula>
    </cfRule>
    <cfRule type="expression" dxfId="238" priority="360">
      <formula>$G$184="Yes"</formula>
    </cfRule>
  </conditionalFormatting>
  <conditionalFormatting sqref="H187:AC189">
    <cfRule type="expression" dxfId="237" priority="357">
      <formula>$G$187=""</formula>
    </cfRule>
    <cfRule type="expression" dxfId="236" priority="358">
      <formula>$G$187="Yes"</formula>
    </cfRule>
  </conditionalFormatting>
  <conditionalFormatting sqref="H191:AC193">
    <cfRule type="expression" dxfId="235" priority="353">
      <formula>$G$191=""</formula>
    </cfRule>
    <cfRule type="expression" dxfId="234" priority="354">
      <formula>$G$191="Yes"</formula>
    </cfRule>
  </conditionalFormatting>
  <conditionalFormatting sqref="H194:AC196">
    <cfRule type="expression" dxfId="233" priority="351">
      <formula>$G$194=""</formula>
    </cfRule>
    <cfRule type="expression" dxfId="232" priority="352">
      <formula>$G$194="Yes"</formula>
    </cfRule>
  </conditionalFormatting>
  <conditionalFormatting sqref="H197:AC199">
    <cfRule type="expression" dxfId="231" priority="347">
      <formula>$G$197=""</formula>
    </cfRule>
    <cfRule type="expression" dxfId="230" priority="348">
      <formula>$G$197="Yes"</formula>
    </cfRule>
  </conditionalFormatting>
  <conditionalFormatting sqref="H201:AC203">
    <cfRule type="expression" dxfId="229" priority="345">
      <formula>$G$201=""</formula>
    </cfRule>
    <cfRule type="expression" dxfId="228" priority="346">
      <formula>$G$201="Yes"</formula>
    </cfRule>
  </conditionalFormatting>
  <conditionalFormatting sqref="H204:AC206">
    <cfRule type="expression" dxfId="227" priority="339">
      <formula>$G$204=""</formula>
    </cfRule>
    <cfRule type="expression" dxfId="226" priority="340">
      <formula>$G$204="Yes"</formula>
    </cfRule>
  </conditionalFormatting>
  <conditionalFormatting sqref="H207:AC209">
    <cfRule type="expression" dxfId="225" priority="337">
      <formula>$G$207=""</formula>
    </cfRule>
    <cfRule type="expression" dxfId="224" priority="338">
      <formula>$G$207="Yes"</formula>
    </cfRule>
  </conditionalFormatting>
  <conditionalFormatting sqref="H210:AC212">
    <cfRule type="expression" dxfId="223" priority="335">
      <formula>$G$210=""</formula>
    </cfRule>
    <cfRule type="expression" dxfId="222" priority="336">
      <formula>$G$210="Yes"</formula>
    </cfRule>
  </conditionalFormatting>
  <conditionalFormatting sqref="H214:AC216">
    <cfRule type="expression" dxfId="221" priority="333">
      <formula>$G$214=""</formula>
    </cfRule>
    <cfRule type="expression" dxfId="220" priority="334">
      <formula>$G$214="Yes"</formula>
    </cfRule>
  </conditionalFormatting>
  <conditionalFormatting sqref="H217:AC219">
    <cfRule type="expression" dxfId="219" priority="331">
      <formula>$G$217=""</formula>
    </cfRule>
    <cfRule type="expression" dxfId="218" priority="332">
      <formula>$G$217="Yes"</formula>
    </cfRule>
  </conditionalFormatting>
  <conditionalFormatting sqref="H221:AC223">
    <cfRule type="expression" dxfId="217" priority="327">
      <formula>$G$221=""</formula>
    </cfRule>
    <cfRule type="expression" dxfId="216" priority="328">
      <formula>$G$221="Yes"</formula>
    </cfRule>
  </conditionalFormatting>
  <conditionalFormatting sqref="H224:AC226">
    <cfRule type="expression" dxfId="215" priority="325">
      <formula>$G$224=""</formula>
    </cfRule>
    <cfRule type="expression" dxfId="214" priority="326">
      <formula>$G$224="Yes"</formula>
    </cfRule>
  </conditionalFormatting>
  <conditionalFormatting sqref="H227:AC229">
    <cfRule type="expression" dxfId="213" priority="323">
      <formula>$G$227=""</formula>
    </cfRule>
    <cfRule type="expression" dxfId="212" priority="324">
      <formula>$G$227="Yes"</formula>
    </cfRule>
  </conditionalFormatting>
  <conditionalFormatting sqref="H231:AC233">
    <cfRule type="expression" dxfId="211" priority="321">
      <formula>$G$231=""</formula>
    </cfRule>
    <cfRule type="expression" dxfId="210" priority="322">
      <formula>$G$231="Yes"</formula>
    </cfRule>
  </conditionalFormatting>
  <conditionalFormatting sqref="H234:AC236">
    <cfRule type="expression" dxfId="209" priority="319">
      <formula>$G$234=""</formula>
    </cfRule>
    <cfRule type="expression" dxfId="208" priority="320">
      <formula>$G$234="Yes"</formula>
    </cfRule>
  </conditionalFormatting>
  <conditionalFormatting sqref="H237:AC239">
    <cfRule type="expression" dxfId="207" priority="317">
      <formula>$G$237=""</formula>
    </cfRule>
    <cfRule type="expression" dxfId="206" priority="318">
      <formula>$G$237="Yes"</formula>
    </cfRule>
  </conditionalFormatting>
  <conditionalFormatting sqref="H240:AC242">
    <cfRule type="expression" dxfId="205" priority="315">
      <formula>$G$240=""</formula>
    </cfRule>
    <cfRule type="expression" dxfId="204" priority="316">
      <formula>$G$240="Yes"</formula>
    </cfRule>
  </conditionalFormatting>
  <conditionalFormatting sqref="H244:AC246">
    <cfRule type="expression" dxfId="203" priority="313">
      <formula>$G$244=""</formula>
    </cfRule>
    <cfRule type="expression" dxfId="202" priority="314">
      <formula>$G$244="Yes"</formula>
    </cfRule>
  </conditionalFormatting>
  <conditionalFormatting sqref="H247:AC249">
    <cfRule type="expression" dxfId="201" priority="311">
      <formula>$G$247=""</formula>
    </cfRule>
    <cfRule type="expression" dxfId="200" priority="312">
      <formula>$G$247="Yes"</formula>
    </cfRule>
  </conditionalFormatting>
  <conditionalFormatting sqref="H250:AC252">
    <cfRule type="expression" dxfId="199" priority="309">
      <formula>$G$250=""</formula>
    </cfRule>
    <cfRule type="expression" dxfId="198" priority="310">
      <formula>$G$250="Yes"</formula>
    </cfRule>
  </conditionalFormatting>
  <conditionalFormatting sqref="H254:AC256">
    <cfRule type="expression" dxfId="197" priority="307">
      <formula>$G$254=""</formula>
    </cfRule>
    <cfRule type="expression" dxfId="196" priority="308">
      <formula>$G$254="Yes"</formula>
    </cfRule>
  </conditionalFormatting>
  <conditionalFormatting sqref="H257:AC259">
    <cfRule type="expression" dxfId="195" priority="305">
      <formula>$G$257=""</formula>
    </cfRule>
    <cfRule type="expression" dxfId="194" priority="306">
      <formula>$G$257="Yes"</formula>
    </cfRule>
  </conditionalFormatting>
  <conditionalFormatting sqref="H260:AC262">
    <cfRule type="expression" dxfId="193" priority="301">
      <formula>$G$260=""</formula>
    </cfRule>
    <cfRule type="expression" dxfId="192" priority="302">
      <formula>$G$260="Yes"</formula>
    </cfRule>
  </conditionalFormatting>
  <conditionalFormatting sqref="H263:AC265">
    <cfRule type="expression" dxfId="191" priority="299">
      <formula>$G$263=""</formula>
    </cfRule>
    <cfRule type="expression" dxfId="190" priority="300">
      <formula>$G$263="Yes"</formula>
    </cfRule>
  </conditionalFormatting>
  <conditionalFormatting sqref="H266:AC268">
    <cfRule type="expression" dxfId="189" priority="297">
      <formula>$G$266=""</formula>
    </cfRule>
    <cfRule type="expression" dxfId="188" priority="298">
      <formula>$G$266="Yes"</formula>
    </cfRule>
  </conditionalFormatting>
  <conditionalFormatting sqref="H269:AC271">
    <cfRule type="expression" dxfId="187" priority="295">
      <formula>$G$269=""</formula>
    </cfRule>
    <cfRule type="expression" dxfId="186" priority="296">
      <formula>$G$269="Yes"</formula>
    </cfRule>
  </conditionalFormatting>
  <conditionalFormatting sqref="H272:AC274">
    <cfRule type="expression" dxfId="185" priority="293">
      <formula>$G$272=""</formula>
    </cfRule>
    <cfRule type="expression" dxfId="184" priority="294">
      <formula>$G$272="Yes"</formula>
    </cfRule>
  </conditionalFormatting>
  <conditionalFormatting sqref="H283:AC285">
    <cfRule type="expression" dxfId="183" priority="291">
      <formula>$G$283=""</formula>
    </cfRule>
    <cfRule type="expression" dxfId="182" priority="292">
      <formula>$G$283="Yes"</formula>
    </cfRule>
  </conditionalFormatting>
  <conditionalFormatting sqref="H286:AC288">
    <cfRule type="expression" dxfId="181" priority="289">
      <formula>$G$286=""</formula>
    </cfRule>
    <cfRule type="expression" dxfId="180" priority="290">
      <formula>$G$286="Yes"</formula>
    </cfRule>
  </conditionalFormatting>
  <conditionalFormatting sqref="H289:AC291">
    <cfRule type="expression" dxfId="179" priority="285">
      <formula>$G$289=""</formula>
    </cfRule>
    <cfRule type="expression" dxfId="178" priority="286">
      <formula>$G$289="Yes"</formula>
    </cfRule>
  </conditionalFormatting>
  <conditionalFormatting sqref="H292:AC294">
    <cfRule type="expression" dxfId="177" priority="283">
      <formula>$G$292=""</formula>
    </cfRule>
    <cfRule type="expression" dxfId="176" priority="284">
      <formula>$G$292="Yes"</formula>
    </cfRule>
  </conditionalFormatting>
  <conditionalFormatting sqref="H314:AC316">
    <cfRule type="expression" dxfId="175" priority="281">
      <formula>$G$314=""</formula>
    </cfRule>
    <cfRule type="expression" dxfId="174" priority="282">
      <formula>$G$314="Yes"</formula>
    </cfRule>
  </conditionalFormatting>
  <conditionalFormatting sqref="H317:AC319">
    <cfRule type="expression" dxfId="173" priority="279">
      <formula>$G$317=""</formula>
    </cfRule>
    <cfRule type="expression" dxfId="172" priority="280">
      <formula>$G$317="Yes"</formula>
    </cfRule>
  </conditionalFormatting>
  <conditionalFormatting sqref="H321:AC323">
    <cfRule type="expression" dxfId="171" priority="277">
      <formula>$G$321=""</formula>
    </cfRule>
    <cfRule type="expression" dxfId="170" priority="278">
      <formula>$G$321="Yes"</formula>
    </cfRule>
  </conditionalFormatting>
  <conditionalFormatting sqref="H326:AC328">
    <cfRule type="expression" dxfId="169" priority="269">
      <formula>$G$326=""</formula>
    </cfRule>
    <cfRule type="expression" dxfId="168" priority="270">
      <formula>$G$326="Yes"</formula>
    </cfRule>
  </conditionalFormatting>
  <conditionalFormatting sqref="H329:AC331">
    <cfRule type="expression" dxfId="167" priority="267">
      <formula>$G$329=""</formula>
    </cfRule>
    <cfRule type="expression" dxfId="166" priority="268">
      <formula>$G$329="Yes"</formula>
    </cfRule>
  </conditionalFormatting>
  <conditionalFormatting sqref="H332:AC334">
    <cfRule type="expression" dxfId="165" priority="261">
      <formula>$G$332=""</formula>
    </cfRule>
    <cfRule type="expression" dxfId="164" priority="262">
      <formula>$G$332="Yes"</formula>
    </cfRule>
  </conditionalFormatting>
  <conditionalFormatting sqref="H335:AC337">
    <cfRule type="expression" dxfId="163" priority="259">
      <formula>$G$335=""</formula>
    </cfRule>
    <cfRule type="expression" dxfId="162" priority="260">
      <formula>$G$335="Yes"</formula>
    </cfRule>
  </conditionalFormatting>
  <conditionalFormatting sqref="H338:AC340">
    <cfRule type="expression" dxfId="161" priority="257">
      <formula>$G$338=""</formula>
    </cfRule>
    <cfRule type="expression" dxfId="160" priority="258">
      <formula>$G$338="Yes"</formula>
    </cfRule>
  </conditionalFormatting>
  <conditionalFormatting sqref="H342:AC344">
    <cfRule type="expression" dxfId="159" priority="253">
      <formula>$G$342=""</formula>
    </cfRule>
    <cfRule type="expression" dxfId="158" priority="254">
      <formula>$G$342="Yes"</formula>
    </cfRule>
  </conditionalFormatting>
  <conditionalFormatting sqref="H346:AC348">
    <cfRule type="expression" dxfId="157" priority="251">
      <formula>$G$346=""</formula>
    </cfRule>
    <cfRule type="expression" dxfId="156" priority="252">
      <formula>$G$346="Yes"</formula>
    </cfRule>
  </conditionalFormatting>
  <conditionalFormatting sqref="H349:AC351">
    <cfRule type="expression" dxfId="155" priority="249">
      <formula>$G$349=""</formula>
    </cfRule>
    <cfRule type="expression" dxfId="154" priority="250">
      <formula>$G$349="Yes"</formula>
    </cfRule>
  </conditionalFormatting>
  <conditionalFormatting sqref="H352:AC354">
    <cfRule type="expression" dxfId="153" priority="247">
      <formula>$G$352=""</formula>
    </cfRule>
    <cfRule type="expression" dxfId="152" priority="248">
      <formula>$G$352="Yes"</formula>
    </cfRule>
  </conditionalFormatting>
  <conditionalFormatting sqref="H355:AC357">
    <cfRule type="expression" dxfId="151" priority="245">
      <formula>$G$355=""</formula>
    </cfRule>
    <cfRule type="expression" dxfId="150" priority="246">
      <formula>$G$355="Yes"</formula>
    </cfRule>
  </conditionalFormatting>
  <conditionalFormatting sqref="H359:AC361">
    <cfRule type="expression" dxfId="149" priority="243">
      <formula>$G$359=""</formula>
    </cfRule>
    <cfRule type="expression" dxfId="148" priority="244">
      <formula>$G$359="Yes"</formula>
    </cfRule>
  </conditionalFormatting>
  <conditionalFormatting sqref="H362:AC364">
    <cfRule type="expression" dxfId="147" priority="241">
      <formula>$G$362=""</formula>
    </cfRule>
    <cfRule type="expression" dxfId="146" priority="242">
      <formula>$G$362="Yes"</formula>
    </cfRule>
  </conditionalFormatting>
  <conditionalFormatting sqref="H365:AC367">
    <cfRule type="expression" dxfId="145" priority="239">
      <formula>$G$365=""</formula>
    </cfRule>
    <cfRule type="expression" dxfId="144" priority="240">
      <formula>$G$365="Yes"</formula>
    </cfRule>
  </conditionalFormatting>
  <conditionalFormatting sqref="H369:AC371">
    <cfRule type="expression" dxfId="143" priority="237">
      <formula>$G$369=""</formula>
    </cfRule>
    <cfRule type="expression" dxfId="142" priority="238">
      <formula>$G$369="Yes"</formula>
    </cfRule>
  </conditionalFormatting>
  <conditionalFormatting sqref="H372:AC374">
    <cfRule type="expression" dxfId="141" priority="235">
      <formula>$G$372=""</formula>
    </cfRule>
    <cfRule type="expression" dxfId="140" priority="236">
      <formula>$G$372="Yes"</formula>
    </cfRule>
  </conditionalFormatting>
  <conditionalFormatting sqref="H376:AC378">
    <cfRule type="expression" dxfId="139" priority="229">
      <formula>$G$376=""</formula>
    </cfRule>
    <cfRule type="expression" dxfId="138" priority="230">
      <formula>$G$376="Yes"</formula>
    </cfRule>
  </conditionalFormatting>
  <conditionalFormatting sqref="H379:AC381">
    <cfRule type="expression" dxfId="137" priority="227">
      <formula>$G$379=""</formula>
    </cfRule>
    <cfRule type="expression" dxfId="136" priority="228">
      <formula>$G$379="Yes"</formula>
    </cfRule>
  </conditionalFormatting>
  <conditionalFormatting sqref="H383:AC385">
    <cfRule type="expression" dxfId="135" priority="225">
      <formula>$G$383=""</formula>
    </cfRule>
    <cfRule type="expression" dxfId="134" priority="226">
      <formula>$G$383="Yes"</formula>
    </cfRule>
  </conditionalFormatting>
  <conditionalFormatting sqref="H386:AC388">
    <cfRule type="expression" dxfId="133" priority="223">
      <formula>$G$386=""</formula>
    </cfRule>
    <cfRule type="expression" dxfId="132" priority="224">
      <formula>$G$386="Yes"</formula>
    </cfRule>
  </conditionalFormatting>
  <conditionalFormatting sqref="H389:AC391">
    <cfRule type="expression" dxfId="131" priority="221">
      <formula>$G$389=""</formula>
    </cfRule>
    <cfRule type="expression" dxfId="130" priority="222">
      <formula>$G$389="Yes"</formula>
    </cfRule>
  </conditionalFormatting>
  <conditionalFormatting sqref="H396:AC398">
    <cfRule type="expression" dxfId="129" priority="219">
      <formula>$G$396=""</formula>
    </cfRule>
    <cfRule type="expression" dxfId="128" priority="220">
      <formula>$G$396="Yes"</formula>
    </cfRule>
  </conditionalFormatting>
  <conditionalFormatting sqref="H393:AC395">
    <cfRule type="expression" dxfId="127" priority="217">
      <formula>$G$393=""</formula>
    </cfRule>
    <cfRule type="expression" dxfId="126" priority="218">
      <formula>$G$393="Yes"</formula>
    </cfRule>
  </conditionalFormatting>
  <conditionalFormatting sqref="H399:AC401">
    <cfRule type="expression" dxfId="125" priority="215">
      <formula>$G$399=""</formula>
    </cfRule>
    <cfRule type="expression" dxfId="124" priority="216">
      <formula>$G$399="Yes"</formula>
    </cfRule>
  </conditionalFormatting>
  <conditionalFormatting sqref="H403:AC405">
    <cfRule type="expression" dxfId="123" priority="211">
      <formula>$G$403=""</formula>
    </cfRule>
    <cfRule type="expression" dxfId="122" priority="212">
      <formula>$G$403="Yes"</formula>
    </cfRule>
  </conditionalFormatting>
  <conditionalFormatting sqref="H406:J406 K406:AC408">
    <cfRule type="expression" dxfId="121" priority="209">
      <formula>$G$406=""</formula>
    </cfRule>
    <cfRule type="expression" dxfId="120" priority="210">
      <formula>$G$406="Yes"</formula>
    </cfRule>
  </conditionalFormatting>
  <conditionalFormatting sqref="H411:J411 K411:AC413">
    <cfRule type="expression" dxfId="119" priority="207">
      <formula>$G$411=""</formula>
    </cfRule>
    <cfRule type="expression" dxfId="118" priority="208">
      <formula>$G$411="Yes"</formula>
    </cfRule>
  </conditionalFormatting>
  <conditionalFormatting sqref="H414:J414 K414:AC416">
    <cfRule type="expression" dxfId="117" priority="205">
      <formula>$G$414=""</formula>
    </cfRule>
    <cfRule type="expression" dxfId="116" priority="206">
      <formula>$G$414="Yes"</formula>
    </cfRule>
  </conditionalFormatting>
  <conditionalFormatting sqref="H418:J418 K418:AC420">
    <cfRule type="expression" dxfId="115" priority="203">
      <formula>$G$418=""</formula>
    </cfRule>
    <cfRule type="expression" dxfId="114" priority="204">
      <formula>$G$418="Yes"</formula>
    </cfRule>
  </conditionalFormatting>
  <conditionalFormatting sqref="H422:J422 K422:AC424">
    <cfRule type="expression" dxfId="113" priority="201">
      <formula>$G$422=""</formula>
    </cfRule>
    <cfRule type="expression" dxfId="112" priority="202">
      <formula>$G$422="Yes"</formula>
    </cfRule>
  </conditionalFormatting>
  <conditionalFormatting sqref="H429:J429 K429:AC431">
    <cfRule type="expression" dxfId="111" priority="199">
      <formula>$G$429=""</formula>
    </cfRule>
    <cfRule type="expression" dxfId="110" priority="200">
      <formula>$G$429="Yes"</formula>
    </cfRule>
  </conditionalFormatting>
  <conditionalFormatting sqref="G14:G16 G73:G81 G86:G106 G191:G199 G201:G212 G254:G274 G286:G294 G326:G340 G376:G381 G403:G408">
    <cfRule type="cellIs" dxfId="109" priority="174" operator="equal">
      <formula>""</formula>
    </cfRule>
    <cfRule type="cellIs" dxfId="108" priority="175" operator="equal">
      <formula>"Yes"</formula>
    </cfRule>
  </conditionalFormatting>
  <conditionalFormatting sqref="G17:G22">
    <cfRule type="cellIs" dxfId="107" priority="172" operator="equal">
      <formula>""</formula>
    </cfRule>
    <cfRule type="cellIs" dxfId="106" priority="173" operator="equal">
      <formula>"Yes"</formula>
    </cfRule>
  </conditionalFormatting>
  <conditionalFormatting sqref="G46:G48">
    <cfRule type="cellIs" dxfId="105" priority="168" operator="equal">
      <formula>""</formula>
    </cfRule>
    <cfRule type="cellIs" dxfId="104" priority="169" operator="equal">
      <formula>"Yes"</formula>
    </cfRule>
  </conditionalFormatting>
  <conditionalFormatting sqref="G51:G53">
    <cfRule type="cellIs" dxfId="103" priority="162" operator="equal">
      <formula>""</formula>
    </cfRule>
    <cfRule type="cellIs" dxfId="102" priority="163" operator="equal">
      <formula>"Yes"</formula>
    </cfRule>
  </conditionalFormatting>
  <conditionalFormatting sqref="G55:G63">
    <cfRule type="cellIs" dxfId="101" priority="158" operator="equal">
      <formula>""</formula>
    </cfRule>
    <cfRule type="cellIs" dxfId="100" priority="159" operator="equal">
      <formula>"Yes"</formula>
    </cfRule>
  </conditionalFormatting>
  <conditionalFormatting sqref="G65:G70">
    <cfRule type="cellIs" dxfId="99" priority="156" operator="equal">
      <formula>""</formula>
    </cfRule>
    <cfRule type="cellIs" dxfId="98" priority="157" operator="equal">
      <formula>"Yes"</formula>
    </cfRule>
  </conditionalFormatting>
  <conditionalFormatting sqref="G83:G85">
    <cfRule type="cellIs" dxfId="97" priority="152" operator="equal">
      <formula>""</formula>
    </cfRule>
    <cfRule type="cellIs" dxfId="96" priority="153" operator="equal">
      <formula>"Yes"</formula>
    </cfRule>
  </conditionalFormatting>
  <conditionalFormatting sqref="G108:G116">
    <cfRule type="cellIs" dxfId="95" priority="148" operator="equal">
      <formula>""</formula>
    </cfRule>
    <cfRule type="cellIs" dxfId="94" priority="149" operator="equal">
      <formula>"Yes"</formula>
    </cfRule>
  </conditionalFormatting>
  <conditionalFormatting sqref="G118:G120 G124:G126">
    <cfRule type="cellIs" dxfId="93" priority="146" operator="equal">
      <formula>""</formula>
    </cfRule>
    <cfRule type="cellIs" dxfId="92" priority="147" operator="equal">
      <formula>"Yes"</formula>
    </cfRule>
  </conditionalFormatting>
  <conditionalFormatting sqref="G42:G44">
    <cfRule type="cellIs" dxfId="91" priority="142" operator="equal">
      <formula>""</formula>
    </cfRule>
    <cfRule type="cellIs" dxfId="90" priority="143" operator="equal">
      <formula>"Yes"</formula>
    </cfRule>
  </conditionalFormatting>
  <conditionalFormatting sqref="G129:G131">
    <cfRule type="cellIs" dxfId="89" priority="140" operator="equal">
      <formula>""</formula>
    </cfRule>
    <cfRule type="cellIs" dxfId="88" priority="141" operator="equal">
      <formula>"Yes"</formula>
    </cfRule>
  </conditionalFormatting>
  <conditionalFormatting sqref="G133:G135">
    <cfRule type="cellIs" dxfId="87" priority="138" operator="equal">
      <formula>""</formula>
    </cfRule>
    <cfRule type="cellIs" dxfId="86" priority="139" operator="equal">
      <formula>"Yes"</formula>
    </cfRule>
  </conditionalFormatting>
  <conditionalFormatting sqref="G136:G141">
    <cfRule type="cellIs" dxfId="85" priority="136" operator="equal">
      <formula>""</formula>
    </cfRule>
    <cfRule type="cellIs" dxfId="84" priority="137" operator="equal">
      <formula>"Yes"</formula>
    </cfRule>
  </conditionalFormatting>
  <conditionalFormatting sqref="G143:G154">
    <cfRule type="cellIs" dxfId="83" priority="134" operator="equal">
      <formula>""</formula>
    </cfRule>
    <cfRule type="cellIs" dxfId="82" priority="135" operator="equal">
      <formula>"Yes"</formula>
    </cfRule>
  </conditionalFormatting>
  <conditionalFormatting sqref="G156:G161">
    <cfRule type="cellIs" dxfId="81" priority="132" operator="equal">
      <formula>""</formula>
    </cfRule>
    <cfRule type="cellIs" dxfId="80" priority="133" operator="equal">
      <formula>"Yes"</formula>
    </cfRule>
  </conditionalFormatting>
  <conditionalFormatting sqref="G163:G171">
    <cfRule type="cellIs" dxfId="79" priority="130" operator="equal">
      <formula>""</formula>
    </cfRule>
    <cfRule type="cellIs" dxfId="78" priority="131" operator="equal">
      <formula>"Yes"</formula>
    </cfRule>
  </conditionalFormatting>
  <conditionalFormatting sqref="G176:G178">
    <cfRule type="cellIs" dxfId="77" priority="128" operator="equal">
      <formula>""</formula>
    </cfRule>
    <cfRule type="cellIs" dxfId="76" priority="129" operator="equal">
      <formula>"Yes"</formula>
    </cfRule>
  </conditionalFormatting>
  <conditionalFormatting sqref="G181:G189">
    <cfRule type="cellIs" dxfId="75" priority="126" operator="equal">
      <formula>""</formula>
    </cfRule>
    <cfRule type="cellIs" dxfId="74" priority="127" operator="equal">
      <formula>"Yes"</formula>
    </cfRule>
  </conditionalFormatting>
  <conditionalFormatting sqref="G214:G219">
    <cfRule type="cellIs" dxfId="73" priority="120" operator="equal">
      <formula>""</formula>
    </cfRule>
    <cfRule type="cellIs" dxfId="72" priority="121" operator="equal">
      <formula>"Yes"</formula>
    </cfRule>
  </conditionalFormatting>
  <conditionalFormatting sqref="G221:G229">
    <cfRule type="cellIs" dxfId="71" priority="118" operator="equal">
      <formula>""</formula>
    </cfRule>
    <cfRule type="cellIs" dxfId="70" priority="119" operator="equal">
      <formula>"Yes"</formula>
    </cfRule>
  </conditionalFormatting>
  <conditionalFormatting sqref="G231:G242">
    <cfRule type="cellIs" dxfId="69" priority="116" operator="equal">
      <formula>""</formula>
    </cfRule>
    <cfRule type="cellIs" dxfId="68" priority="117" operator="equal">
      <formula>"Yes"</formula>
    </cfRule>
  </conditionalFormatting>
  <conditionalFormatting sqref="G244:G252">
    <cfRule type="cellIs" dxfId="67" priority="114" operator="equal">
      <formula>""</formula>
    </cfRule>
    <cfRule type="cellIs" dxfId="66" priority="115" operator="equal">
      <formula>"Yes"</formula>
    </cfRule>
  </conditionalFormatting>
  <conditionalFormatting sqref="G283:G285">
    <cfRule type="cellIs" dxfId="65" priority="110" operator="equal">
      <formula>""</formula>
    </cfRule>
    <cfRule type="cellIs" dxfId="64" priority="111" operator="equal">
      <formula>"Yes"</formula>
    </cfRule>
  </conditionalFormatting>
  <conditionalFormatting sqref="G342:G344">
    <cfRule type="cellIs" dxfId="63" priority="104" operator="equal">
      <formula>""</formula>
    </cfRule>
    <cfRule type="cellIs" dxfId="62" priority="105" operator="equal">
      <formula>"Yes"</formula>
    </cfRule>
  </conditionalFormatting>
  <conditionalFormatting sqref="G346:G357">
    <cfRule type="cellIs" dxfId="61" priority="102" operator="equal">
      <formula>""</formula>
    </cfRule>
    <cfRule type="cellIs" dxfId="60" priority="103" operator="equal">
      <formula>"Yes"</formula>
    </cfRule>
  </conditionalFormatting>
  <conditionalFormatting sqref="G359:G367">
    <cfRule type="cellIs" dxfId="59" priority="100" operator="equal">
      <formula>""</formula>
    </cfRule>
    <cfRule type="cellIs" dxfId="58" priority="101" operator="equal">
      <formula>"Yes"</formula>
    </cfRule>
  </conditionalFormatting>
  <conditionalFormatting sqref="G369:G374">
    <cfRule type="cellIs" dxfId="57" priority="98" operator="equal">
      <formula>""</formula>
    </cfRule>
    <cfRule type="cellIs" dxfId="56" priority="99" operator="equal">
      <formula>"Yes"</formula>
    </cfRule>
  </conditionalFormatting>
  <conditionalFormatting sqref="G383:G391">
    <cfRule type="cellIs" dxfId="55" priority="94" operator="equal">
      <formula>""</formula>
    </cfRule>
    <cfRule type="cellIs" dxfId="54" priority="95" operator="equal">
      <formula>"Yes"</formula>
    </cfRule>
  </conditionalFormatting>
  <conditionalFormatting sqref="G393:G401">
    <cfRule type="cellIs" dxfId="53" priority="92" operator="equal">
      <formula>""</formula>
    </cfRule>
    <cfRule type="cellIs" dxfId="52" priority="93" operator="equal">
      <formula>"Yes"</formula>
    </cfRule>
  </conditionalFormatting>
  <conditionalFormatting sqref="G411:G416">
    <cfRule type="cellIs" dxfId="51" priority="88" operator="equal">
      <formula>""</formula>
    </cfRule>
    <cfRule type="cellIs" dxfId="50" priority="89" operator="equal">
      <formula>"Yes"</formula>
    </cfRule>
  </conditionalFormatting>
  <conditionalFormatting sqref="G418:G420">
    <cfRule type="cellIs" dxfId="49" priority="86" operator="equal">
      <formula>""</formula>
    </cfRule>
    <cfRule type="cellIs" dxfId="48" priority="87" operator="equal">
      <formula>"Yes"</formula>
    </cfRule>
  </conditionalFormatting>
  <conditionalFormatting sqref="G422:G424">
    <cfRule type="cellIs" dxfId="47" priority="84" operator="equal">
      <formula>""</formula>
    </cfRule>
    <cfRule type="cellIs" dxfId="46" priority="85" operator="equal">
      <formula>"Yes"</formula>
    </cfRule>
  </conditionalFormatting>
  <conditionalFormatting sqref="G429:G431">
    <cfRule type="cellIs" dxfId="45" priority="82" operator="equal">
      <formula>""</formula>
    </cfRule>
    <cfRule type="cellIs" dxfId="44" priority="83" operator="equal">
      <formula>"Yes"</formula>
    </cfRule>
  </conditionalFormatting>
  <conditionalFormatting sqref="G317:G319">
    <cfRule type="cellIs" dxfId="43" priority="66" operator="equal">
      <formula>""</formula>
    </cfRule>
    <cfRule type="cellIs" dxfId="42" priority="67" operator="equal">
      <formula>"Yes"</formula>
    </cfRule>
  </conditionalFormatting>
  <conditionalFormatting sqref="G314:G316">
    <cfRule type="cellIs" dxfId="41" priority="68" operator="equal">
      <formula>""</formula>
    </cfRule>
    <cfRule type="cellIs" dxfId="40" priority="69" operator="equal">
      <formula>"Yes"</formula>
    </cfRule>
  </conditionalFormatting>
  <conditionalFormatting sqref="G321:G323">
    <cfRule type="cellIs" dxfId="39" priority="64" operator="equal">
      <formula>""</formula>
    </cfRule>
    <cfRule type="cellIs" dxfId="38" priority="65" operator="equal">
      <formula>"Yes"</formula>
    </cfRule>
  </conditionalFormatting>
  <conditionalFormatting sqref="H23:AC25">
    <cfRule type="expression" dxfId="37" priority="52">
      <formula>$G$23=""</formula>
    </cfRule>
    <cfRule type="expression" dxfId="36" priority="53">
      <formula>$G$23="Yes"</formula>
    </cfRule>
  </conditionalFormatting>
  <conditionalFormatting sqref="G23:G25">
    <cfRule type="cellIs" dxfId="35" priority="50" operator="equal">
      <formula>""</formula>
    </cfRule>
    <cfRule type="cellIs" dxfId="34" priority="51" operator="equal">
      <formula>"Yes"</formula>
    </cfRule>
  </conditionalFormatting>
  <conditionalFormatting sqref="G27:AC29">
    <cfRule type="expression" dxfId="33" priority="521">
      <formula>$G$27=""</formula>
    </cfRule>
    <cfRule type="expression" dxfId="32" priority="522">
      <formula>$G$27="Yes"</formula>
    </cfRule>
  </conditionalFormatting>
  <conditionalFormatting sqref="G30:AC32">
    <cfRule type="expression" dxfId="31" priority="47">
      <formula>$G$30=""</formula>
    </cfRule>
    <cfRule type="expression" dxfId="30" priority="48">
      <formula>$G$30="Yes"</formula>
    </cfRule>
  </conditionalFormatting>
  <conditionalFormatting sqref="G33:AC35">
    <cfRule type="expression" dxfId="29" priority="517">
      <formula>$G$33=""</formula>
    </cfRule>
    <cfRule type="expression" dxfId="28" priority="518">
      <formula>$G$33="Yes"</formula>
    </cfRule>
  </conditionalFormatting>
  <conditionalFormatting sqref="G36:AC38">
    <cfRule type="expression" dxfId="27" priority="515">
      <formula>$G$36=""</formula>
    </cfRule>
    <cfRule type="expression" dxfId="26" priority="516">
      <formula>$G$36="Yes"</formula>
    </cfRule>
  </conditionalFormatting>
  <conditionalFormatting sqref="G39:AC44">
    <cfRule type="expression" dxfId="25" priority="513">
      <formula>$G$39=""</formula>
    </cfRule>
    <cfRule type="expression" dxfId="24" priority="514">
      <formula>$G$39="Yes"</formula>
    </cfRule>
  </conditionalFormatting>
  <conditionalFormatting sqref="G121:AC123">
    <cfRule type="expression" dxfId="23" priority="45">
      <formula>$G$121=""</formula>
    </cfRule>
    <cfRule type="expression" dxfId="22" priority="46">
      <formula>$G$121="Yes"</formula>
    </cfRule>
  </conditionalFormatting>
  <conditionalFormatting sqref="G173:AC175">
    <cfRule type="expression" dxfId="21" priority="41">
      <formula>$G$173=""</formula>
    </cfRule>
    <cfRule type="expression" dxfId="20" priority="42">
      <formula>$G$173="Yes"</formula>
    </cfRule>
  </conditionalFormatting>
  <conditionalFormatting sqref="G275:AC277">
    <cfRule type="expression" dxfId="19" priority="37">
      <formula>$G$275=""</formula>
    </cfRule>
    <cfRule type="expression" dxfId="18" priority="38">
      <formula>$G$275="Yes"</formula>
    </cfRule>
  </conditionalFormatting>
  <conditionalFormatting sqref="G278:AC280">
    <cfRule type="expression" dxfId="17" priority="33">
      <formula>$G$278=""</formula>
    </cfRule>
    <cfRule type="expression" dxfId="16" priority="34">
      <formula>$G$278="Yes"</formula>
    </cfRule>
  </conditionalFormatting>
  <conditionalFormatting sqref="G295:AC297">
    <cfRule type="expression" dxfId="15" priority="29">
      <formula>$G$295=""</formula>
    </cfRule>
    <cfRule type="expression" dxfId="14" priority="30">
      <formula>$G$295="Yes"</formula>
    </cfRule>
  </conditionalFormatting>
  <conditionalFormatting sqref="G298:AC300">
    <cfRule type="expression" dxfId="13" priority="25">
      <formula>$G$298=""</formula>
    </cfRule>
    <cfRule type="expression" dxfId="12" priority="26">
      <formula>$G$298="Yes"</formula>
    </cfRule>
  </conditionalFormatting>
  <conditionalFormatting sqref="G301:AC303">
    <cfRule type="expression" dxfId="11" priority="21">
      <formula>$G$301=""</formula>
    </cfRule>
    <cfRule type="expression" dxfId="10" priority="22">
      <formula>$G$301="Yes"</formula>
    </cfRule>
  </conditionalFormatting>
  <conditionalFormatting sqref="G304:AC306">
    <cfRule type="expression" dxfId="9" priority="17">
      <formula>$G$304=""</formula>
    </cfRule>
    <cfRule type="expression" dxfId="8" priority="18">
      <formula>$G$304="Yes"</formula>
    </cfRule>
  </conditionalFormatting>
  <conditionalFormatting sqref="G307:AC309">
    <cfRule type="expression" dxfId="7" priority="13">
      <formula>$G$307=""</formula>
    </cfRule>
    <cfRule type="expression" dxfId="6" priority="14">
      <formula>$G$307="Yes"</formula>
    </cfRule>
  </conditionalFormatting>
  <conditionalFormatting sqref="G310:AC312">
    <cfRule type="expression" dxfId="5" priority="9">
      <formula>$G$310=""</formula>
    </cfRule>
    <cfRule type="expression" dxfId="4" priority="10">
      <formula>$G$310="Yes"</formula>
    </cfRule>
  </conditionalFormatting>
  <conditionalFormatting sqref="G425:AC427">
    <cfRule type="expression" dxfId="3" priority="7">
      <formula>$G$425=""</formula>
    </cfRule>
    <cfRule type="expression" dxfId="2" priority="8">
      <formula>$G$425="Yes"</formula>
    </cfRule>
  </conditionalFormatting>
  <conditionalFormatting sqref="G432:AC434">
    <cfRule type="expression" dxfId="1" priority="3">
      <formula>$G$432=""</formula>
    </cfRule>
    <cfRule type="expression" dxfId="0" priority="4">
      <formula>$G$432="Yes"</formula>
    </cfRule>
  </conditionalFormatting>
  <dataValidations count="3">
    <dataValidation type="list" allowBlank="1" sqref="K417:L417 K10:L12 K1:L8 K26:L26 K402:L402 K213:L213 K200:L200 K190:L190 K179:L180 K155:L155 K142:L142 K132:L132 K127:L128 K117:L117 K107:L107 K82:L82 K71:L72 K64:L64 K54:L54 K50:L50 K435:L1048576 K428:L428 K421:L421 K410:L410 K382:L382 K375:L375 K368:L368 K358:L358 K345:L345 K341:L341 K324:L325 K313:L313 K281:L282 K253:L253 K243:L243 K220:L220 K230:L230 K172:L172 K320:L320" xr:uid="{00000000-0002-0000-0500-000000000000}">
      <formula1>Projektmitarbeiter</formula1>
    </dataValidation>
    <dataValidation type="list" allowBlank="1" sqref="G64 G13 G71:G72" xr:uid="{00000000-0002-0000-0500-000001000000}">
      <formula1>"Yes, No, "</formula1>
    </dataValidation>
    <dataValidation type="list" allowBlank="1" showInputMessage="1" showErrorMessage="1" sqref="G12 G321:G323 G46:G48 G51:G53 G55:G63 G65:G70 G108:G116 G83:G106 G129:G131 G133:G141 G143:G154 G156:G161 G163:G171 G173:G178 G181:G189 G214:G219 G221:G229 G231:G242 G244:G252 G422:G427 G342:G344 G346:G357 G359:G367 G369:G374 G383:G391 G393:G401 G411:G416 G418:G420 G403:G408 G14:G25 G27:G44 G73:G81 G118:G126 G191:G199 G201:G212 G254:G280 G314:G319 G283:G312 G326:G340 G376:G381 G429:G434" xr:uid="{00000000-0002-0000-0500-000002000000}">
      <formula1>"Yes, No"</formula1>
    </dataValidation>
  </dataValidations>
  <pageMargins left="0.70866141732283472" right="0.70866141732283472" top="0.74803149606299213" bottom="0.74803149606299213" header="0.31496062992125984" footer="0.31496062992125984"/>
  <pageSetup paperSize="8" scale="65" fitToHeight="16" orientation="landscape" r:id="rId2"/>
  <headerFooter>
    <oddHeader>&amp;CSheet: &amp;A</oddHeader>
    <oddFooter>&amp;L&amp;F&amp;C&amp;P/&amp;N&amp;R&amp;D</oddFooter>
  </headerFooter>
  <drawing r:id="rId3"/>
  <legacyDrawing r:id="rId4"/>
  <extLst>
    <ext xmlns:x14="http://schemas.microsoft.com/office/spreadsheetml/2009/9/main" uri="{CCE6A557-97BC-4b89-ADB6-D9C93CAAB3DF}">
      <x14:dataValidations xmlns:xm="http://schemas.microsoft.com/office/excel/2006/main" count="2">
        <x14:dataValidation type="list" allowBlank="1" xr:uid="{94DC68DD-CF5F-458A-A0F7-E8683BC61821}">
          <x14:formula1>
            <xm:f>'1_Role and Responsibilities'!$D$19:$D$32</xm:f>
          </x14:formula1>
          <xm:sqref>K422:L427 K429:L434 K376:L381 K326:L340 K283:L312 K314:L319 K254:L280 K201:L212 K191:L199 K118:L126 K73:L81 K27:L44 K14:L25 K403:L408 K418:L420 K411:L416 K393:L401 K383:L391 K369:L374 K359:L367 K346:L357 K342:L344 K321:L323 K244:L252 K231:L242 K221:L229 K214:L219 K181:L189 K173:L178 K163:L171 K156:L161 K143:L154 K133:L141 K129:L131 K83:L106 K108:L116 K65:L70 K55:L63 K51:L53</xm:sqref>
        </x14:dataValidation>
        <x14:dataValidation type="list" allowBlank="1" showInputMessage="1" showErrorMessage="1" xr:uid="{7965DE4D-24F0-4B6E-B470-2267402604DE}">
          <x14:formula1>
            <xm:f>'1_Role and Responsibilities'!$D$19:$D$32</xm:f>
          </x14:formula1>
          <xm:sqref>K46:L48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7">
    <tabColor theme="8" tint="-0.249977111117893"/>
    <pageSetUpPr fitToPage="1"/>
  </sheetPr>
  <dimension ref="A1:H34"/>
  <sheetViews>
    <sheetView zoomScaleNormal="100" workbookViewId="0">
      <selection activeCell="A18" sqref="A18"/>
    </sheetView>
  </sheetViews>
  <sheetFormatPr defaultColWidth="11.453125" defaultRowHeight="12.5" x14ac:dyDescent="0.25"/>
  <cols>
    <col min="1" max="1" width="21.90625" style="1" customWidth="1"/>
    <col min="2" max="4" width="11.453125" style="1"/>
    <col min="5" max="5" width="18.90625" style="1" customWidth="1"/>
    <col min="6" max="6" width="11.453125" style="1"/>
    <col min="7" max="8" width="21.453125" style="1" customWidth="1"/>
    <col min="9" max="16384" width="11.453125" style="1"/>
  </cols>
  <sheetData>
    <row r="1" spans="1:8" ht="78" customHeight="1" thickBot="1" x14ac:dyDescent="0.3">
      <c r="B1" s="394" t="str">
        <f>Cover!B1</f>
        <v>Safety Plan</v>
      </c>
      <c r="C1" s="394"/>
      <c r="D1" s="394"/>
      <c r="E1" s="394"/>
      <c r="F1" s="394"/>
      <c r="G1" s="394"/>
      <c r="H1" s="394"/>
    </row>
    <row r="2" spans="1:8" ht="15" customHeight="1" x14ac:dyDescent="0.25">
      <c r="A2" s="251" t="s">
        <v>795</v>
      </c>
      <c r="B2" s="252"/>
      <c r="C2" s="252"/>
      <c r="D2" s="252"/>
      <c r="E2" s="252"/>
      <c r="F2" s="252"/>
      <c r="G2" s="252"/>
      <c r="H2" s="252"/>
    </row>
    <row r="3" spans="1:8" ht="15" customHeight="1" x14ac:dyDescent="0.25">
      <c r="A3" s="21" t="s">
        <v>796</v>
      </c>
      <c r="B3" s="379" t="s">
        <v>797</v>
      </c>
      <c r="C3" s="379"/>
      <c r="D3" s="379"/>
      <c r="E3" s="379"/>
      <c r="F3" s="379"/>
      <c r="G3" s="379"/>
      <c r="H3" s="379"/>
    </row>
    <row r="4" spans="1:8" ht="15" customHeight="1" x14ac:dyDescent="0.25">
      <c r="A4" s="395" t="s">
        <v>798</v>
      </c>
      <c r="B4" s="379" t="s">
        <v>799</v>
      </c>
      <c r="C4" s="379"/>
      <c r="D4" s="379"/>
      <c r="E4" s="379"/>
      <c r="F4" s="379"/>
      <c r="G4" s="379"/>
      <c r="H4" s="379"/>
    </row>
    <row r="5" spans="1:8" ht="15" customHeight="1" x14ac:dyDescent="0.25">
      <c r="A5" s="396"/>
      <c r="B5" s="379"/>
      <c r="C5" s="379"/>
      <c r="D5" s="379"/>
      <c r="E5" s="379"/>
      <c r="F5" s="379"/>
      <c r="G5" s="379"/>
      <c r="H5" s="379"/>
    </row>
    <row r="6" spans="1:8" ht="35.25" customHeight="1" x14ac:dyDescent="0.25">
      <c r="A6" s="21" t="s">
        <v>800</v>
      </c>
      <c r="B6" s="378" t="s">
        <v>801</v>
      </c>
      <c r="C6" s="379"/>
      <c r="D6" s="379"/>
      <c r="E6" s="379"/>
      <c r="F6" s="379"/>
      <c r="G6" s="379"/>
      <c r="H6" s="379"/>
    </row>
    <row r="7" spans="1:8" ht="15" customHeight="1" x14ac:dyDescent="0.25">
      <c r="A7" s="380" t="s">
        <v>802</v>
      </c>
      <c r="B7" s="382" t="s">
        <v>803</v>
      </c>
      <c r="C7" s="383"/>
      <c r="D7" s="383"/>
      <c r="E7" s="383"/>
      <c r="F7" s="383"/>
      <c r="G7" s="383"/>
      <c r="H7" s="384"/>
    </row>
    <row r="8" spans="1:8" ht="78.75" customHeight="1" x14ac:dyDescent="0.25">
      <c r="A8" s="381"/>
      <c r="B8" s="385"/>
      <c r="C8" s="386"/>
      <c r="D8" s="386"/>
      <c r="E8" s="386"/>
      <c r="F8" s="386"/>
      <c r="G8" s="386"/>
      <c r="H8" s="387"/>
    </row>
    <row r="9" spans="1:8" ht="46.5" x14ac:dyDescent="0.25">
      <c r="A9" s="21" t="s">
        <v>804</v>
      </c>
      <c r="B9" s="391" t="s">
        <v>805</v>
      </c>
      <c r="C9" s="391"/>
      <c r="D9" s="391"/>
      <c r="E9" s="391"/>
      <c r="F9" s="391"/>
      <c r="G9" s="391"/>
      <c r="H9" s="391"/>
    </row>
    <row r="10" spans="1:8" ht="39" customHeight="1" x14ac:dyDescent="0.25">
      <c r="A10" s="21" t="s">
        <v>806</v>
      </c>
      <c r="B10" s="391" t="s">
        <v>807</v>
      </c>
      <c r="C10" s="391"/>
      <c r="D10" s="391"/>
      <c r="E10" s="391"/>
      <c r="F10" s="391"/>
      <c r="G10" s="391"/>
      <c r="H10" s="391"/>
    </row>
    <row r="11" spans="1:8" ht="15.5" x14ac:dyDescent="0.25">
      <c r="A11" s="21" t="s">
        <v>808</v>
      </c>
      <c r="B11" s="392" t="s">
        <v>809</v>
      </c>
      <c r="C11" s="392"/>
      <c r="D11" s="392"/>
      <c r="E11" s="392"/>
      <c r="F11" s="392"/>
      <c r="G11" s="392"/>
      <c r="H11" s="392"/>
    </row>
    <row r="12" spans="1:8" ht="46.5" x14ac:dyDescent="0.25">
      <c r="A12" s="21" t="s">
        <v>810</v>
      </c>
      <c r="B12" s="393" t="s">
        <v>811</v>
      </c>
      <c r="C12" s="393"/>
      <c r="D12" s="393"/>
      <c r="E12" s="393"/>
      <c r="F12" s="393"/>
      <c r="G12" s="393"/>
      <c r="H12" s="393"/>
    </row>
    <row r="13" spans="1:8" ht="31" x14ac:dyDescent="0.25">
      <c r="A13" s="21" t="s">
        <v>812</v>
      </c>
      <c r="B13" s="392" t="s">
        <v>813</v>
      </c>
      <c r="C13" s="392"/>
      <c r="D13" s="392"/>
      <c r="E13" s="392"/>
      <c r="F13" s="392"/>
      <c r="G13" s="392"/>
      <c r="H13" s="392"/>
    </row>
    <row r="14" spans="1:8" ht="15.5" x14ac:dyDescent="0.25">
      <c r="A14" s="21" t="s">
        <v>814</v>
      </c>
      <c r="B14" s="392" t="s">
        <v>863</v>
      </c>
      <c r="C14" s="392"/>
      <c r="D14" s="392"/>
      <c r="E14" s="392"/>
      <c r="F14" s="392"/>
      <c r="G14" s="392"/>
      <c r="H14" s="392"/>
    </row>
    <row r="15" spans="1:8" ht="15.5" x14ac:dyDescent="0.25">
      <c r="A15" s="21" t="s">
        <v>815</v>
      </c>
      <c r="B15" s="392" t="s">
        <v>816</v>
      </c>
      <c r="C15" s="392"/>
      <c r="D15" s="392"/>
      <c r="E15" s="392"/>
      <c r="F15" s="392"/>
      <c r="G15" s="392"/>
      <c r="H15" s="392"/>
    </row>
    <row r="16" spans="1:8" ht="46.5" x14ac:dyDescent="0.25">
      <c r="A16" s="22" t="s">
        <v>817</v>
      </c>
      <c r="B16" s="388" t="s">
        <v>818</v>
      </c>
      <c r="C16" s="389"/>
      <c r="D16" s="389"/>
      <c r="E16" s="389"/>
      <c r="F16" s="389"/>
      <c r="G16" s="389"/>
      <c r="H16" s="390"/>
    </row>
    <row r="17" spans="1:8" ht="37.5" customHeight="1" x14ac:dyDescent="0.25">
      <c r="A17" s="22" t="s">
        <v>819</v>
      </c>
      <c r="B17" s="388" t="s">
        <v>820</v>
      </c>
      <c r="C17" s="389"/>
      <c r="D17" s="389"/>
      <c r="E17" s="389"/>
      <c r="F17" s="389"/>
      <c r="G17" s="389"/>
      <c r="H17" s="390"/>
    </row>
    <row r="18" spans="1:8" ht="31.5" customHeight="1" x14ac:dyDescent="0.25">
      <c r="A18" s="22" t="s">
        <v>821</v>
      </c>
      <c r="B18" s="388" t="s">
        <v>822</v>
      </c>
      <c r="C18" s="389"/>
      <c r="D18" s="389"/>
      <c r="E18" s="389"/>
      <c r="F18" s="389"/>
      <c r="G18" s="389"/>
      <c r="H18" s="390"/>
    </row>
    <row r="19" spans="1:8" ht="15.75" customHeight="1" x14ac:dyDescent="0.25">
      <c r="A19" s="22" t="s">
        <v>823</v>
      </c>
      <c r="B19" s="388" t="s">
        <v>824</v>
      </c>
      <c r="C19" s="389"/>
      <c r="D19" s="389"/>
      <c r="E19" s="389"/>
      <c r="F19" s="389"/>
      <c r="G19" s="389"/>
      <c r="H19" s="390"/>
    </row>
    <row r="20" spans="1:8" ht="16.5" customHeight="1" thickBot="1" x14ac:dyDescent="0.3">
      <c r="A20" s="23" t="s">
        <v>825</v>
      </c>
      <c r="B20" s="388" t="s">
        <v>826</v>
      </c>
      <c r="C20" s="389"/>
      <c r="D20" s="389"/>
      <c r="E20" s="389"/>
      <c r="F20" s="389"/>
      <c r="G20" s="389"/>
      <c r="H20" s="390"/>
    </row>
    <row r="21" spans="1:8" ht="15.75" customHeight="1" thickBot="1" x14ac:dyDescent="0.3">
      <c r="A21" s="251" t="s">
        <v>827</v>
      </c>
      <c r="B21" s="252"/>
      <c r="C21" s="252"/>
      <c r="D21" s="252"/>
      <c r="E21" s="252"/>
      <c r="F21" s="252"/>
      <c r="G21" s="252"/>
      <c r="H21" s="252"/>
    </row>
    <row r="22" spans="1:8" ht="26" x14ac:dyDescent="0.25">
      <c r="A22" s="24" t="s">
        <v>828</v>
      </c>
      <c r="B22" s="25" t="s">
        <v>829</v>
      </c>
      <c r="C22" s="372" t="s">
        <v>830</v>
      </c>
      <c r="D22" s="372"/>
      <c r="E22" s="372"/>
      <c r="F22" s="372"/>
      <c r="G22" s="372"/>
      <c r="H22" s="372"/>
    </row>
    <row r="23" spans="1:8" ht="42" customHeight="1" x14ac:dyDescent="0.25">
      <c r="A23" s="26" t="s">
        <v>831</v>
      </c>
      <c r="B23" s="27" t="s">
        <v>832</v>
      </c>
      <c r="C23" s="373" t="s">
        <v>833</v>
      </c>
      <c r="D23" s="373"/>
      <c r="E23" s="373"/>
      <c r="F23" s="373"/>
      <c r="G23" s="373"/>
      <c r="H23" s="373"/>
    </row>
    <row r="24" spans="1:8" x14ac:dyDescent="0.25">
      <c r="A24" s="374" t="s">
        <v>834</v>
      </c>
      <c r="B24" s="376" t="s">
        <v>835</v>
      </c>
      <c r="C24" s="373" t="s">
        <v>836</v>
      </c>
      <c r="D24" s="373"/>
      <c r="E24" s="373"/>
      <c r="F24" s="373"/>
      <c r="G24" s="373"/>
      <c r="H24" s="373"/>
    </row>
    <row r="25" spans="1:8" ht="25.5" customHeight="1" x14ac:dyDescent="0.25">
      <c r="A25" s="375"/>
      <c r="B25" s="377"/>
      <c r="C25" s="373"/>
      <c r="D25" s="373"/>
      <c r="E25" s="373"/>
      <c r="F25" s="373"/>
      <c r="G25" s="373"/>
      <c r="H25" s="373"/>
    </row>
    <row r="26" spans="1:8" ht="33" customHeight="1" x14ac:dyDescent="0.25">
      <c r="A26" s="26" t="s">
        <v>837</v>
      </c>
      <c r="B26" s="28" t="s">
        <v>838</v>
      </c>
      <c r="C26" s="370" t="s">
        <v>839</v>
      </c>
      <c r="D26" s="370"/>
      <c r="E26" s="370"/>
      <c r="F26" s="370"/>
      <c r="G26" s="370"/>
      <c r="H26" s="370"/>
    </row>
    <row r="27" spans="1:8" ht="30" customHeight="1" x14ac:dyDescent="0.25">
      <c r="A27" s="26" t="s">
        <v>840</v>
      </c>
      <c r="B27" s="27" t="s">
        <v>841</v>
      </c>
      <c r="C27" s="371" t="s">
        <v>842</v>
      </c>
      <c r="D27" s="371"/>
      <c r="E27" s="371"/>
      <c r="F27" s="371"/>
      <c r="G27" s="371"/>
      <c r="H27" s="371"/>
    </row>
    <row r="28" spans="1:8" ht="30" customHeight="1" thickBot="1" x14ac:dyDescent="0.3">
      <c r="A28" s="29" t="s">
        <v>527</v>
      </c>
      <c r="B28" s="30" t="s">
        <v>843</v>
      </c>
      <c r="C28" s="371" t="s">
        <v>844</v>
      </c>
      <c r="D28" s="371"/>
      <c r="E28" s="371"/>
      <c r="F28" s="371"/>
      <c r="G28" s="371"/>
      <c r="H28" s="371"/>
    </row>
    <row r="29" spans="1:8" ht="15.75" customHeight="1" thickBot="1" x14ac:dyDescent="0.3">
      <c r="A29" s="251" t="s">
        <v>845</v>
      </c>
      <c r="B29" s="252"/>
      <c r="C29" s="252"/>
      <c r="D29" s="252"/>
      <c r="E29" s="252"/>
      <c r="F29" s="252"/>
      <c r="G29" s="252"/>
      <c r="H29" s="252"/>
    </row>
    <row r="30" spans="1:8" ht="20.25" customHeight="1" x14ac:dyDescent="0.25">
      <c r="A30" s="24" t="s">
        <v>846</v>
      </c>
      <c r="B30" s="363" t="s">
        <v>829</v>
      </c>
      <c r="C30" s="364"/>
      <c r="D30" s="364"/>
      <c r="E30" s="364"/>
      <c r="F30" s="364"/>
      <c r="G30" s="364"/>
      <c r="H30" s="365"/>
    </row>
    <row r="31" spans="1:8" ht="77.25" customHeight="1" x14ac:dyDescent="0.25">
      <c r="A31" s="26" t="s">
        <v>847</v>
      </c>
      <c r="B31" s="366" t="s">
        <v>848</v>
      </c>
      <c r="C31" s="367"/>
      <c r="D31" s="367"/>
      <c r="E31" s="367"/>
      <c r="F31" s="367"/>
      <c r="G31" s="367"/>
      <c r="H31" s="368"/>
    </row>
    <row r="32" spans="1:8" ht="57" customHeight="1" x14ac:dyDescent="0.25">
      <c r="A32" s="96" t="s">
        <v>849</v>
      </c>
      <c r="B32" s="366" t="s">
        <v>850</v>
      </c>
      <c r="C32" s="367"/>
      <c r="D32" s="367"/>
      <c r="E32" s="367"/>
      <c r="F32" s="367"/>
      <c r="G32" s="367"/>
      <c r="H32" s="368"/>
    </row>
    <row r="33" spans="1:8" ht="44.25" customHeight="1" x14ac:dyDescent="0.25">
      <c r="A33" s="26" t="s">
        <v>851</v>
      </c>
      <c r="B33" s="366" t="s">
        <v>852</v>
      </c>
      <c r="C33" s="367"/>
      <c r="D33" s="367"/>
      <c r="E33" s="367"/>
      <c r="F33" s="367"/>
      <c r="G33" s="367"/>
      <c r="H33" s="368"/>
    </row>
    <row r="34" spans="1:8" ht="24" customHeight="1" thickBot="1" x14ac:dyDescent="0.3">
      <c r="A34" s="29" t="s">
        <v>853</v>
      </c>
      <c r="B34" s="369" t="s">
        <v>854</v>
      </c>
      <c r="C34" s="369"/>
      <c r="D34" s="369"/>
      <c r="E34" s="369"/>
      <c r="F34" s="369"/>
      <c r="G34" s="369"/>
      <c r="H34" s="369"/>
    </row>
  </sheetData>
  <customSheetViews>
    <customSheetView guid="{A881EEAB-4C12-45E2-A786-FAF50DD5927A}" fitToPage="1">
      <selection activeCell="A9" sqref="A9:E9"/>
      <pageMargins left="0" right="0" top="0" bottom="0" header="0" footer="0"/>
      <pageSetup paperSize="9" scale="80" orientation="portrait" r:id="rId1"/>
      <headerFooter>
        <oddHeader>&amp;C&amp;12Sheet: &amp;A</oddHeader>
        <oddFooter>&amp;L&amp;F&amp;C&amp;P/&amp;N&amp;R&amp;D</oddFooter>
      </headerFooter>
    </customSheetView>
  </customSheetViews>
  <mergeCells count="35">
    <mergeCell ref="A2:H2"/>
    <mergeCell ref="B1:H1"/>
    <mergeCell ref="B3:H3"/>
    <mergeCell ref="A4:A5"/>
    <mergeCell ref="B4:H5"/>
    <mergeCell ref="B6:H6"/>
    <mergeCell ref="A7:A8"/>
    <mergeCell ref="B7:H8"/>
    <mergeCell ref="B20:H20"/>
    <mergeCell ref="B9:H9"/>
    <mergeCell ref="B10:H10"/>
    <mergeCell ref="B11:H11"/>
    <mergeCell ref="B12:H12"/>
    <mergeCell ref="B13:H13"/>
    <mergeCell ref="B14:H14"/>
    <mergeCell ref="B15:H15"/>
    <mergeCell ref="B16:H16"/>
    <mergeCell ref="B17:H17"/>
    <mergeCell ref="B18:H18"/>
    <mergeCell ref="B19:H19"/>
    <mergeCell ref="A29:H29"/>
    <mergeCell ref="C26:H26"/>
    <mergeCell ref="C27:H27"/>
    <mergeCell ref="C28:H28"/>
    <mergeCell ref="A21:H21"/>
    <mergeCell ref="C22:H22"/>
    <mergeCell ref="C23:H23"/>
    <mergeCell ref="A24:A25"/>
    <mergeCell ref="B24:B25"/>
    <mergeCell ref="C24:H25"/>
    <mergeCell ref="B30:H30"/>
    <mergeCell ref="B31:H31"/>
    <mergeCell ref="B32:H32"/>
    <mergeCell ref="B33:H33"/>
    <mergeCell ref="B34:H34"/>
  </mergeCells>
  <phoneticPr fontId="28" type="noConversion"/>
  <pageMargins left="0.70866141732283472" right="0.70866141732283472" top="0.74803149606299213" bottom="0.74803149606299213" header="0.31496062992125984" footer="0.31496062992125984"/>
  <pageSetup paperSize="9" scale="80" orientation="portrait" r:id="rId2"/>
  <headerFooter>
    <oddHeader>&amp;C&amp;12Sheet: &amp;A</oddHeader>
    <oddFooter>&amp;L&amp;F&amp;C&amp;P/&amp;N&amp;R&amp;D</oddFooter>
  </headerFooter>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8"/>
  <sheetViews>
    <sheetView workbookViewId="0">
      <selection sqref="A1:A8"/>
    </sheetView>
  </sheetViews>
  <sheetFormatPr defaultColWidth="10.90625" defaultRowHeight="14" x14ac:dyDescent="0.25"/>
  <cols>
    <col min="1" max="1" width="17.90625" customWidth="1"/>
  </cols>
  <sheetData>
    <row r="1" spans="1:1" ht="21" x14ac:dyDescent="0.4">
      <c r="A1" s="37" t="s">
        <v>814</v>
      </c>
    </row>
    <row r="2" spans="1:1" x14ac:dyDescent="0.25">
      <c r="A2" t="s">
        <v>855</v>
      </c>
    </row>
    <row r="3" spans="1:1" x14ac:dyDescent="0.25">
      <c r="A3" t="s">
        <v>856</v>
      </c>
    </row>
    <row r="4" spans="1:1" x14ac:dyDescent="0.25">
      <c r="A4" t="s">
        <v>857</v>
      </c>
    </row>
    <row r="5" spans="1:1" x14ac:dyDescent="0.25">
      <c r="A5" t="s">
        <v>858</v>
      </c>
    </row>
    <row r="6" spans="1:1" x14ac:dyDescent="0.25">
      <c r="A6" t="s">
        <v>859</v>
      </c>
    </row>
    <row r="7" spans="1:1" x14ac:dyDescent="0.25">
      <c r="A7" t="s">
        <v>860</v>
      </c>
    </row>
    <row r="8" spans="1:1" x14ac:dyDescent="0.25">
      <c r="A8" t="s">
        <v>861</v>
      </c>
    </row>
  </sheetData>
  <customSheetViews>
    <customSheetView guid="{A881EEAB-4C12-45E2-A786-FAF50DD5927A}" state="hidden">
      <selection sqref="A1:A8"/>
      <pageMargins left="0" right="0" top="0" bottom="0" header="0" footer="0"/>
      <pageSetup paperSize="9" orientation="portrait" r:id="rId1"/>
    </customSheetView>
  </customSheetViews>
  <phoneticPr fontId="28" type="noConversion"/>
  <pageMargins left="0.7" right="0.7" top="0.78740157499999996" bottom="0.78740157499999996"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EACE285CC33549A60295CD3E937279" ma:contentTypeVersion="16" ma:contentTypeDescription="Create a new document." ma:contentTypeScope="" ma:versionID="2a2cb3083b24cc8105119acbbfba0f29">
  <xsd:schema xmlns:xsd="http://www.w3.org/2001/XMLSchema" xmlns:xs="http://www.w3.org/2001/XMLSchema" xmlns:p="http://schemas.microsoft.com/office/2006/metadata/properties" xmlns:ns2="6ae9c470-8cc5-4cb0-8926-c8b00f08f3a4" xmlns:ns3="915e5a57-654a-464a-ad05-afc3651800e3" targetNamespace="http://schemas.microsoft.com/office/2006/metadata/properties" ma:root="true" ma:fieldsID="31512586bbc714b5cfb9d1204f0281ff" ns2:_="" ns3:_="">
    <xsd:import namespace="6ae9c470-8cc5-4cb0-8926-c8b00f08f3a4"/>
    <xsd:import namespace="915e5a57-654a-464a-ad05-afc3651800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e9c470-8cc5-4cb0-8926-c8b00f08f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a219a01-8d24-4c9e-a527-0b9dc35522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5e5a57-654a-464a-ad05-afc3651800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8974fee-06c1-40de-8f6c-3f4759ed597e}" ma:internalName="TaxCatchAll" ma:showField="CatchAllData" ma:web="915e5a57-654a-464a-ad05-afc3651800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e9c470-8cc5-4cb0-8926-c8b00f08f3a4">
      <Terms xmlns="http://schemas.microsoft.com/office/infopath/2007/PartnerControls"/>
    </lcf76f155ced4ddcb4097134ff3c332f>
    <TaxCatchAll xmlns="915e5a57-654a-464a-ad05-afc3651800e3" xsi:nil="true"/>
  </documentManagement>
</p:properties>
</file>

<file path=customXml/itemProps1.xml><?xml version="1.0" encoding="utf-8"?>
<ds:datastoreItem xmlns:ds="http://schemas.openxmlformats.org/officeDocument/2006/customXml" ds:itemID="{AF3248BE-DA23-427C-993F-AFF69DB623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e9c470-8cc5-4cb0-8926-c8b00f08f3a4"/>
    <ds:schemaRef ds:uri="915e5a57-654a-464a-ad05-afc3651800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960108-8EC6-428F-9325-E03201B56FC3}">
  <ds:schemaRefs>
    <ds:schemaRef ds:uri="http://schemas.microsoft.com/sharepoint/v3/contenttype/forms"/>
  </ds:schemaRefs>
</ds:datastoreItem>
</file>

<file path=customXml/itemProps3.xml><?xml version="1.0" encoding="utf-8"?>
<ds:datastoreItem xmlns:ds="http://schemas.openxmlformats.org/officeDocument/2006/customXml" ds:itemID="{EF85D630-40F8-48B9-ABE0-9772AD52EFF2}">
  <ds:schemaRefs>
    <ds:schemaRef ds:uri="http://schemas.microsoft.com/office/2006/metadata/properties"/>
    <ds:schemaRef ds:uri="http://schemas.microsoft.com/office/infopath/2007/PartnerControls"/>
    <ds:schemaRef ds:uri="6ae9c470-8cc5-4cb0-8926-c8b00f08f3a4"/>
    <ds:schemaRef ds:uri="915e5a57-654a-464a-ad05-afc3651800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6</vt:i4>
      </vt:variant>
    </vt:vector>
  </HeadingPairs>
  <TitlesOfParts>
    <vt:vector size="13" baseType="lpstr">
      <vt:lpstr>Cover</vt:lpstr>
      <vt:lpstr>General-Description</vt:lpstr>
      <vt:lpstr>1_Role and Responsibilities</vt:lpstr>
      <vt:lpstr>Description of 2_Safety_plan</vt:lpstr>
      <vt:lpstr>2_Safety_plan</vt:lpstr>
      <vt:lpstr>Description of 3_Document_list</vt:lpstr>
      <vt:lpstr>Tabelle1</vt:lpstr>
      <vt:lpstr>'1_Role and Responsibilities'!Print_Area</vt:lpstr>
      <vt:lpstr>'2_Safety_plan'!Print_Area</vt:lpstr>
      <vt:lpstr>'1_Role and Responsibilities'!Print_Titles</vt:lpstr>
      <vt:lpstr>'2_Safety_plan'!Print_Titles</vt:lpstr>
      <vt:lpstr>Projektmitarbeiter</vt:lpstr>
      <vt:lpstr>Status</vt:lpstr>
    </vt:vector>
  </TitlesOfParts>
  <Manager/>
  <Company>SGS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Allen</dc:creator>
  <cp:keywords/>
  <dc:description/>
  <cp:lastModifiedBy>Xiang</cp:lastModifiedBy>
  <cp:revision/>
  <dcterms:created xsi:type="dcterms:W3CDTF">2012-06-06T08:21:50Z</dcterms:created>
  <dcterms:modified xsi:type="dcterms:W3CDTF">2023-03-14T03:19:06Z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0x0101005EEACE285CC33549A60295CD3E937279</vt:lpwstr>
  </property>
</Properties>
</file>