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shun/Desktop/06-IQI/02-ISO26262/10-Item Template/中英文流程整理/02-整理后合并（维护SEOOC）/ISO26262-Part 6/6-7 SW Architecture Design/4 SW DFA/"/>
    </mc:Choice>
  </mc:AlternateContent>
  <xr:revisionPtr revIDLastSave="0" documentId="13_ncr:1_{D28DB376-7F60-4242-94D7-05C98B944E7A}" xr6:coauthVersionLast="47" xr6:coauthVersionMax="47" xr10:uidLastSave="{00000000-0000-0000-0000-000000000000}"/>
  <bookViews>
    <workbookView xWindow="860" yWindow="500" windowWidth="37540" windowHeight="21100" tabRatio="758" activeTab="8" xr2:uid="{00000000-000D-0000-FFFF-FFFF00000000}"/>
  </bookViews>
  <sheets>
    <sheet name="封面" sheetId="1" r:id="rId1"/>
    <sheet name="变更履历" sheetId="2" r:id="rId2"/>
    <sheet name="General" sheetId="3" r:id="rId3"/>
    <sheet name="SW architecture" sheetId="10" r:id="rId4"/>
    <sheet name="Combination matrix" sheetId="7" r:id="rId5"/>
    <sheet name="Top Event" sheetId="8" r:id="rId6"/>
    <sheet name="SW DFA" sheetId="4" r:id="rId7"/>
    <sheet name="SM list" sheetId="5" r:id="rId8"/>
    <sheet name="example" sheetId="12" r:id="rId9"/>
    <sheet name="模板变更履历" sheetId="6" r:id="rId10"/>
  </sheets>
  <definedNames>
    <definedName name="ECC_EDC">#REF!</definedName>
    <definedName name="Main_MCU_clock_monitor">#REF!</definedName>
    <definedName name="MCPS_and_PTS_redudance_verification">#REF!</definedName>
    <definedName name="NA">#REF!</definedName>
    <definedName name="PTS_Ch1__and__PTS_Ch2__independence_power_supply.">#REF!</definedName>
    <definedName name="PWM_fault_detection">#REF!</definedName>
    <definedName name="SM_ID">#REF!</definedName>
    <definedName name="WhlSpd_sensor_power_supply_diagnosi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6" i="4" l="1"/>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E56" i="4"/>
  <c r="D56" i="4"/>
  <c r="C56" i="4"/>
  <c r="A56"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E3" i="4"/>
  <c r="D3" i="4"/>
  <c r="C3" i="4"/>
  <c r="A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shun</author>
  </authors>
  <commentList>
    <comment ref="C2" authorId="0" shapeId="0" xr:uid="{00000000-0006-0000-0400-000001000000}">
      <text>
        <r>
          <rPr>
            <b/>
            <sz val="10"/>
            <color rgb="FF000000"/>
            <rFont val="Tahoma"/>
            <family val="2"/>
          </rPr>
          <t>shun:</t>
        </r>
        <r>
          <rPr>
            <sz val="10"/>
            <color rgb="FF000000"/>
            <rFont val="Tahoma"/>
            <family val="2"/>
          </rPr>
          <t xml:space="preserve">
</t>
        </r>
        <r>
          <rPr>
            <sz val="10"/>
            <color rgb="FF000000"/>
            <rFont val="Tahoma"/>
            <family val="2"/>
          </rPr>
          <t>硬件架构模块</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GuoS</author>
    <author>Tristan Zhao</author>
  </authors>
  <commentList>
    <comment ref="G4" authorId="0" shapeId="0" xr:uid="{00000000-0006-0000-0600-000001000000}">
      <text>
        <r>
          <rPr>
            <b/>
            <sz val="10"/>
            <color rgb="FF000000"/>
            <rFont val="Tahoma"/>
            <family val="2"/>
          </rPr>
          <t>GuoS:</t>
        </r>
        <r>
          <rPr>
            <sz val="10"/>
            <color rgb="FF000000"/>
            <rFont val="Tahoma"/>
            <family val="2"/>
          </rPr>
          <t xml:space="preserve">
</t>
        </r>
        <r>
          <rPr>
            <sz val="10"/>
            <color rgb="FF000000"/>
            <rFont val="Tahoma"/>
            <family val="2"/>
          </rPr>
          <t>失效后，违背的安全目标</t>
        </r>
      </text>
    </comment>
    <comment ref="H4" authorId="0" shapeId="0" xr:uid="{00000000-0006-0000-0600-000002000000}">
      <text>
        <r>
          <rPr>
            <b/>
            <sz val="10"/>
            <color rgb="FF000000"/>
            <rFont val="Tahoma"/>
            <family val="2"/>
          </rPr>
          <t>GuoS:</t>
        </r>
        <r>
          <rPr>
            <sz val="10"/>
            <color rgb="FF000000"/>
            <rFont val="Tahoma"/>
            <family val="2"/>
          </rPr>
          <t xml:space="preserve">
</t>
        </r>
        <r>
          <rPr>
            <sz val="10"/>
            <color rgb="FF000000"/>
            <rFont val="Tahoma"/>
            <family val="2"/>
          </rPr>
          <t>如果违背的安全目标对应的安全机制一样，就写一个</t>
        </r>
        <r>
          <rPr>
            <sz val="10"/>
            <color rgb="FF000000"/>
            <rFont val="Tahoma"/>
            <family val="2"/>
          </rPr>
          <t>ID</t>
        </r>
        <r>
          <rPr>
            <sz val="10"/>
            <color rgb="FF000000"/>
            <rFont val="Tahoma"/>
            <family val="2"/>
          </rPr>
          <t>，否则分开写</t>
        </r>
      </text>
    </comment>
    <comment ref="J4" authorId="1" shapeId="0" xr:uid="{00000000-0006-0000-0600-000003000000}">
      <text>
        <r>
          <rPr>
            <b/>
            <sz val="9"/>
            <color rgb="FF000000"/>
            <rFont val="Tahoma"/>
            <family val="2"/>
          </rPr>
          <t>在设计中是否体现</t>
        </r>
      </text>
    </comment>
    <comment ref="K4" authorId="1" shapeId="0" xr:uid="{00000000-0006-0000-0600-000004000000}">
      <text>
        <r>
          <rPr>
            <sz val="9"/>
            <color rgb="FF000000"/>
            <rFont val="Tahoma"/>
            <family val="2"/>
          </rPr>
          <t>测试结果或者</t>
        </r>
        <r>
          <rPr>
            <sz val="9"/>
            <color rgb="FF000000"/>
            <rFont val="Tahoma"/>
            <family val="2"/>
          </rPr>
          <t xml:space="preserve">DC </t>
        </r>
        <r>
          <rPr>
            <sz val="9"/>
            <color rgb="FF000000"/>
            <rFont val="Tahoma"/>
            <family val="2"/>
          </rPr>
          <t>指标</t>
        </r>
      </text>
    </comment>
    <comment ref="G57" authorId="0" shapeId="0" xr:uid="{00000000-0006-0000-0600-000005000000}">
      <text>
        <r>
          <rPr>
            <b/>
            <sz val="10"/>
            <color rgb="FF000000"/>
            <rFont val="Tahoma"/>
            <family val="2"/>
          </rPr>
          <t>GuoS:</t>
        </r>
        <r>
          <rPr>
            <sz val="10"/>
            <color rgb="FF000000"/>
            <rFont val="Tahoma"/>
            <family val="2"/>
          </rPr>
          <t xml:space="preserve">
</t>
        </r>
        <r>
          <rPr>
            <sz val="10"/>
            <color rgb="FF000000"/>
            <rFont val="Tahoma"/>
            <family val="2"/>
          </rPr>
          <t>失效后，违背的安全目标</t>
        </r>
      </text>
    </comment>
    <comment ref="H57" authorId="0" shapeId="0" xr:uid="{00000000-0006-0000-0600-000006000000}">
      <text>
        <r>
          <rPr>
            <b/>
            <sz val="10"/>
            <color rgb="FF000000"/>
            <rFont val="Tahoma"/>
            <family val="2"/>
          </rPr>
          <t>GuoS:</t>
        </r>
        <r>
          <rPr>
            <sz val="10"/>
            <color rgb="FF000000"/>
            <rFont val="Tahoma"/>
            <family val="2"/>
          </rPr>
          <t xml:space="preserve">
</t>
        </r>
        <r>
          <rPr>
            <sz val="10"/>
            <color rgb="FF000000"/>
            <rFont val="Tahoma"/>
            <family val="2"/>
          </rPr>
          <t>如果违背的安全目标对应的安全机制一样，就写一个</t>
        </r>
        <r>
          <rPr>
            <sz val="10"/>
            <color rgb="FF000000"/>
            <rFont val="Tahoma"/>
            <family val="2"/>
          </rPr>
          <t>ID</t>
        </r>
        <r>
          <rPr>
            <sz val="10"/>
            <color rgb="FF000000"/>
            <rFont val="Tahoma"/>
            <family val="2"/>
          </rPr>
          <t>，否则分开写</t>
        </r>
      </text>
    </comment>
    <comment ref="J57" authorId="1" shapeId="0" xr:uid="{00000000-0006-0000-0600-000007000000}">
      <text>
        <r>
          <rPr>
            <b/>
            <sz val="9"/>
            <color rgb="FF000000"/>
            <rFont val="Tahoma"/>
            <family val="2"/>
          </rPr>
          <t>在设计中是否体现</t>
        </r>
      </text>
    </comment>
    <comment ref="K57" authorId="1" shapeId="0" xr:uid="{00000000-0006-0000-0600-000008000000}">
      <text>
        <r>
          <rPr>
            <sz val="9"/>
            <color rgb="FF000000"/>
            <rFont val="Tahoma"/>
            <family val="2"/>
          </rPr>
          <t>测试结果或者</t>
        </r>
        <r>
          <rPr>
            <sz val="9"/>
            <color rgb="FF000000"/>
            <rFont val="Tahoma"/>
            <family val="2"/>
          </rPr>
          <t xml:space="preserve">DC </t>
        </r>
        <r>
          <rPr>
            <sz val="9"/>
            <color rgb="FF000000"/>
            <rFont val="Tahoma"/>
            <family val="2"/>
          </rPr>
          <t>指标</t>
        </r>
      </text>
    </comment>
  </commentList>
</comments>
</file>

<file path=xl/sharedStrings.xml><?xml version="1.0" encoding="utf-8"?>
<sst xmlns="http://schemas.openxmlformats.org/spreadsheetml/2006/main" count="598" uniqueCount="305">
  <si>
    <r>
      <rPr>
        <sz val="12"/>
        <color indexed="8"/>
        <rFont val="Calibri"/>
        <family val="2"/>
      </rPr>
      <t>DOCUMENT NO</t>
    </r>
    <r>
      <rPr>
        <sz val="12"/>
        <color indexed="8"/>
        <rFont val="SimSun"/>
        <charset val="134"/>
      </rPr>
      <t>：</t>
    </r>
    <r>
      <rPr>
        <sz val="12"/>
        <color indexed="8"/>
        <rFont val="Calibri"/>
        <family val="2"/>
      </rPr>
      <t xml:space="preserve">ABC-T-SW-02.03
</t>
    </r>
    <r>
      <rPr>
        <sz val="12"/>
        <color indexed="8"/>
        <rFont val="SimSun"/>
        <charset val="134"/>
      </rPr>
      <t>文件编号：</t>
    </r>
  </si>
  <si>
    <r>
      <rPr>
        <sz val="28"/>
        <color indexed="8"/>
        <rFont val="Calibri"/>
        <family val="2"/>
      </rPr>
      <t xml:space="preserve">SW DFA report
</t>
    </r>
    <r>
      <rPr>
        <sz val="28"/>
        <color indexed="8"/>
        <rFont val="SimSun"/>
        <charset val="134"/>
      </rPr>
      <t>软件</t>
    </r>
    <r>
      <rPr>
        <sz val="28"/>
        <color indexed="8"/>
        <rFont val="Calibri"/>
        <family val="2"/>
      </rPr>
      <t>DFA</t>
    </r>
    <r>
      <rPr>
        <sz val="28"/>
        <color indexed="8"/>
        <rFont val="SimSun"/>
        <charset val="134"/>
      </rPr>
      <t>报告</t>
    </r>
  </si>
  <si>
    <r>
      <rPr>
        <sz val="12"/>
        <color indexed="8"/>
        <rFont val="Calibri"/>
        <family val="2"/>
      </rPr>
      <t xml:space="preserve">Project Nam:
</t>
    </r>
    <r>
      <rPr>
        <sz val="12"/>
        <color indexed="8"/>
        <rFont val="SimSun"/>
        <charset val="134"/>
      </rPr>
      <t>项目名称</t>
    </r>
    <r>
      <rPr>
        <sz val="12"/>
        <color indexed="8"/>
        <rFont val="Calibri"/>
        <family val="2"/>
      </rPr>
      <t>:</t>
    </r>
  </si>
  <si>
    <r>
      <rPr>
        <sz val="12"/>
        <color indexed="8"/>
        <rFont val="Calibri"/>
        <family val="2"/>
      </rPr>
      <t xml:space="preserve">Project ID:
</t>
    </r>
    <r>
      <rPr>
        <sz val="11"/>
        <color indexed="8"/>
        <rFont val="SimSun"/>
        <charset val="134"/>
      </rPr>
      <t>项目</t>
    </r>
    <r>
      <rPr>
        <sz val="11"/>
        <color indexed="8"/>
        <rFont val="Calibri"/>
        <family val="2"/>
      </rPr>
      <t>ID:</t>
    </r>
  </si>
  <si>
    <r>
      <rPr>
        <sz val="12"/>
        <color indexed="8"/>
        <rFont val="Calibri"/>
        <family val="2"/>
      </rPr>
      <t xml:space="preserve">Author:      
</t>
    </r>
    <r>
      <rPr>
        <sz val="12"/>
        <color indexed="8"/>
        <rFont val="SimSun"/>
        <charset val="134"/>
      </rPr>
      <t>编制</t>
    </r>
    <r>
      <rPr>
        <sz val="12"/>
        <color indexed="8"/>
        <rFont val="Calibri"/>
        <family val="2"/>
      </rPr>
      <t>:</t>
    </r>
  </si>
  <si>
    <r>
      <rPr>
        <sz val="12"/>
        <color indexed="8"/>
        <rFont val="Calibri"/>
        <family val="2"/>
      </rPr>
      <t xml:space="preserve">Date:
</t>
    </r>
    <r>
      <rPr>
        <sz val="12"/>
        <color indexed="8"/>
        <rFont val="SimSun"/>
        <charset val="134"/>
      </rPr>
      <t>日期</t>
    </r>
    <r>
      <rPr>
        <sz val="12"/>
        <color indexed="8"/>
        <rFont val="Calibri"/>
        <family val="2"/>
      </rPr>
      <t>:</t>
    </r>
  </si>
  <si>
    <t>2022.08.01</t>
  </si>
  <si>
    <r>
      <rPr>
        <sz val="12"/>
        <color indexed="8"/>
        <rFont val="Calibri"/>
        <family val="2"/>
      </rPr>
      <t xml:space="preserve">Reviewer: 
</t>
    </r>
    <r>
      <rPr>
        <sz val="12"/>
        <color indexed="8"/>
        <rFont val="SimSun"/>
        <charset val="134"/>
      </rPr>
      <t>审核</t>
    </r>
    <r>
      <rPr>
        <sz val="12"/>
        <color indexed="8"/>
        <rFont val="Calibri"/>
        <family val="2"/>
      </rPr>
      <t xml:space="preserve">: </t>
    </r>
  </si>
  <si>
    <t>2022.08.05</t>
  </si>
  <si>
    <r>
      <rPr>
        <sz val="12"/>
        <color indexed="8"/>
        <rFont val="Calibri"/>
        <family val="2"/>
      </rPr>
      <t xml:space="preserve">Approver:      
</t>
    </r>
    <r>
      <rPr>
        <sz val="12"/>
        <color indexed="8"/>
        <rFont val="SimSun"/>
        <charset val="134"/>
      </rPr>
      <t>批准</t>
    </r>
    <r>
      <rPr>
        <sz val="12"/>
        <color indexed="8"/>
        <rFont val="Calibri"/>
        <family val="2"/>
      </rPr>
      <t>:</t>
    </r>
  </si>
  <si>
    <r>
      <rPr>
        <sz val="18"/>
        <color indexed="8"/>
        <rFont val="Arial"/>
        <family val="2"/>
      </rPr>
      <t xml:space="preserve">Change History
</t>
    </r>
    <r>
      <rPr>
        <sz val="18"/>
        <color indexed="8"/>
        <rFont val="SimSun"/>
        <charset val="134"/>
      </rPr>
      <t>变更履历</t>
    </r>
  </si>
  <si>
    <r>
      <rPr>
        <sz val="10"/>
        <color indexed="8"/>
        <rFont val="Arial"/>
        <family val="2"/>
      </rPr>
      <t xml:space="preserve">Version
</t>
    </r>
    <r>
      <rPr>
        <sz val="10"/>
        <color indexed="8"/>
        <rFont val="SimSun"/>
        <charset val="134"/>
      </rPr>
      <t>版本</t>
    </r>
  </si>
  <si>
    <r>
      <rPr>
        <sz val="10"/>
        <color indexed="8"/>
        <rFont val="Arial"/>
        <family val="2"/>
      </rPr>
      <t xml:space="preserve">Status
</t>
    </r>
    <r>
      <rPr>
        <sz val="10"/>
        <color indexed="8"/>
        <rFont val="SimSun"/>
        <charset val="134"/>
      </rPr>
      <t>状态</t>
    </r>
  </si>
  <si>
    <r>
      <rPr>
        <sz val="10"/>
        <color indexed="8"/>
        <rFont val="Arial"/>
        <family val="2"/>
      </rPr>
      <t xml:space="preserve">Author
</t>
    </r>
    <r>
      <rPr>
        <sz val="10"/>
        <color indexed="8"/>
        <rFont val="SimSun"/>
        <charset val="134"/>
      </rPr>
      <t>编制人</t>
    </r>
  </si>
  <si>
    <r>
      <rPr>
        <sz val="10"/>
        <color indexed="8"/>
        <rFont val="Arial"/>
        <family val="2"/>
      </rPr>
      <t xml:space="preserve">Date
</t>
    </r>
    <r>
      <rPr>
        <sz val="10"/>
        <color indexed="8"/>
        <rFont val="SimSun"/>
        <charset val="134"/>
      </rPr>
      <t>编制日期</t>
    </r>
  </si>
  <si>
    <r>
      <rPr>
        <sz val="10"/>
        <color indexed="8"/>
        <rFont val="Arial"/>
        <family val="2"/>
      </rPr>
      <t xml:space="preserve">Approver
</t>
    </r>
    <r>
      <rPr>
        <sz val="10"/>
        <color indexed="8"/>
        <rFont val="SimSun"/>
        <charset val="134"/>
      </rPr>
      <t>批准人</t>
    </r>
  </si>
  <si>
    <r>
      <rPr>
        <sz val="10"/>
        <color indexed="8"/>
        <rFont val="Arial"/>
        <family val="2"/>
      </rPr>
      <t xml:space="preserve">Approve Date
</t>
    </r>
    <r>
      <rPr>
        <sz val="10"/>
        <color indexed="8"/>
        <rFont val="SimSun"/>
        <charset val="134"/>
      </rPr>
      <t>批准日期</t>
    </r>
  </si>
  <si>
    <r>
      <rPr>
        <sz val="10"/>
        <color indexed="8"/>
        <rFont val="Arial"/>
        <family val="2"/>
      </rPr>
      <t xml:space="preserve">Description
</t>
    </r>
    <r>
      <rPr>
        <sz val="10"/>
        <color indexed="8"/>
        <rFont val="SimSun"/>
        <charset val="134"/>
      </rPr>
      <t>内容描述</t>
    </r>
  </si>
  <si>
    <t>T0</t>
  </si>
  <si>
    <t>Draft</t>
  </si>
  <si>
    <t>2022.07.01</t>
  </si>
  <si>
    <t>编制初版</t>
  </si>
  <si>
    <t>A0</t>
  </si>
  <si>
    <t>Released</t>
  </si>
  <si>
    <t>发布版</t>
  </si>
  <si>
    <r>
      <rPr>
        <sz val="10"/>
        <color indexed="12"/>
        <rFont val="SimSun"/>
        <charset val="134"/>
      </rPr>
      <t>“状态”是指文档状态，如：“</t>
    </r>
    <r>
      <rPr>
        <sz val="10"/>
        <color indexed="12"/>
        <rFont val="Arial"/>
        <family val="2"/>
      </rPr>
      <t>Draft”, “Released”</t>
    </r>
  </si>
  <si>
    <t>General</t>
  </si>
  <si>
    <r>
      <rPr>
        <sz val="11"/>
        <color indexed="8"/>
        <rFont val="Arial"/>
        <family val="2"/>
      </rPr>
      <t>1 Document Purpose/</t>
    </r>
    <r>
      <rPr>
        <sz val="11"/>
        <color indexed="8"/>
        <rFont val="SimSun"/>
        <charset val="134"/>
      </rPr>
      <t>文档目的</t>
    </r>
  </si>
  <si>
    <r>
      <rPr>
        <sz val="10"/>
        <color indexed="8"/>
        <rFont val="SimSun"/>
        <charset val="134"/>
      </rPr>
      <t xml:space="preserve">This document aims at / 本文档旨在:
</t>
    </r>
    <r>
      <rPr>
        <sz val="10"/>
        <color indexed="8"/>
        <rFont val="Arial"/>
        <family val="2"/>
      </rPr>
      <t xml:space="preserve">a) identity the dependent failure in SW including the common cause failure and cascading failure;
</t>
    </r>
    <r>
      <rPr>
        <sz val="10"/>
        <color indexed="8"/>
        <rFont val="Arial"/>
        <family val="2"/>
      </rPr>
      <t xml:space="preserve">    </t>
    </r>
    <r>
      <rPr>
        <sz val="10"/>
        <color indexed="8"/>
        <rFont val="SimSun"/>
        <charset val="134"/>
      </rPr>
      <t xml:space="preserve">识别软件中的相关失效，包括共因失效和级联失效；
</t>
    </r>
    <r>
      <rPr>
        <sz val="10"/>
        <color indexed="8"/>
        <rFont val="Arial"/>
        <family val="2"/>
      </rPr>
      <t xml:space="preserve">b) evaluate the safety measure to cover the dependent failure;
</t>
    </r>
    <r>
      <rPr>
        <sz val="10"/>
        <color indexed="8"/>
        <rFont val="Arial"/>
        <family val="2"/>
      </rPr>
      <t xml:space="preserve">    </t>
    </r>
    <r>
      <rPr>
        <sz val="10"/>
        <color indexed="8"/>
        <rFont val="SimSun"/>
        <charset val="134"/>
      </rPr>
      <t xml:space="preserve">评估覆盖相关故障的安全措施；
</t>
    </r>
  </si>
  <si>
    <r>
      <rPr>
        <sz val="11"/>
        <color indexed="8"/>
        <rFont val="Arial"/>
        <family val="2"/>
      </rPr>
      <t>2 Input Document/</t>
    </r>
    <r>
      <rPr>
        <sz val="11"/>
        <color indexed="8"/>
        <rFont val="SimSun"/>
        <charset val="134"/>
      </rPr>
      <t>输入文档</t>
    </r>
  </si>
  <si>
    <r>
      <rPr>
        <sz val="10"/>
        <color indexed="8"/>
        <rFont val="Calibri"/>
        <family val="2"/>
      </rPr>
      <t xml:space="preserve">No.
</t>
    </r>
    <r>
      <rPr>
        <sz val="10"/>
        <color indexed="8"/>
        <rFont val="SimSun"/>
        <charset val="134"/>
      </rPr>
      <t>序号</t>
    </r>
  </si>
  <si>
    <r>
      <rPr>
        <sz val="10"/>
        <color indexed="8"/>
        <rFont val="Calibri"/>
        <family val="2"/>
      </rPr>
      <t xml:space="preserve">Document Name
</t>
    </r>
    <r>
      <rPr>
        <sz val="10"/>
        <color indexed="8"/>
        <rFont val="SimSun"/>
        <charset val="134"/>
      </rPr>
      <t>文档名称</t>
    </r>
  </si>
  <si>
    <r>
      <rPr>
        <sz val="10"/>
        <color indexed="8"/>
        <rFont val="Calibri"/>
        <family val="2"/>
      </rPr>
      <t xml:space="preserve">Version
</t>
    </r>
    <r>
      <rPr>
        <sz val="10"/>
        <color indexed="8"/>
        <rFont val="SimSun"/>
        <charset val="134"/>
      </rPr>
      <t>版本</t>
    </r>
  </si>
  <si>
    <r>
      <rPr>
        <sz val="10"/>
        <color indexed="8"/>
        <rFont val="Calibri"/>
        <family val="2"/>
      </rPr>
      <t xml:space="preserve">Date
</t>
    </r>
    <r>
      <rPr>
        <sz val="10"/>
        <color indexed="8"/>
        <rFont val="SimSun"/>
        <charset val="134"/>
      </rPr>
      <t>日期</t>
    </r>
  </si>
  <si>
    <r>
      <rPr>
        <sz val="10"/>
        <color indexed="8"/>
        <rFont val="Calibri"/>
        <family val="2"/>
      </rPr>
      <t xml:space="preserve">ABC-T-SW-01.01_SW Safety Requirement
</t>
    </r>
    <r>
      <rPr>
        <sz val="10"/>
        <color indexed="8"/>
        <rFont val="SimSun"/>
        <charset val="134"/>
      </rPr>
      <t>软件安全需求规范</t>
    </r>
  </si>
  <si>
    <t>/</t>
  </si>
  <si>
    <r>
      <rPr>
        <sz val="10"/>
        <color indexed="8"/>
        <rFont val="Calibri"/>
        <family val="2"/>
      </rPr>
      <t xml:space="preserve">ABC-T-HW-01.03_HW-SW Interface Specification
</t>
    </r>
    <r>
      <rPr>
        <sz val="10"/>
        <color indexed="8"/>
        <rFont val="SimSun"/>
        <charset val="134"/>
      </rPr>
      <t>软硬件接口规范</t>
    </r>
  </si>
  <si>
    <r>
      <rPr>
        <sz val="10"/>
        <color indexed="8"/>
        <rFont val="Calibri"/>
        <family val="2"/>
      </rPr>
      <t xml:space="preserve">ABC-T-SW-02.01_SW Architecture Design Specification
</t>
    </r>
    <r>
      <rPr>
        <sz val="10"/>
        <color indexed="8"/>
        <rFont val="SimSun"/>
        <charset val="134"/>
      </rPr>
      <t>软件架构设计规范</t>
    </r>
  </si>
  <si>
    <r>
      <rPr>
        <sz val="11"/>
        <color indexed="8"/>
        <rFont val="Arial"/>
        <family val="2"/>
      </rPr>
      <t>3 Reference Document/</t>
    </r>
    <r>
      <rPr>
        <sz val="11"/>
        <color indexed="8"/>
        <rFont val="SimSun"/>
        <charset val="134"/>
      </rPr>
      <t>参考文档</t>
    </r>
  </si>
  <si>
    <t>ABC-G-SW-02.03_SW DFA  Guideline</t>
  </si>
  <si>
    <t>ISO26262-6 Product development at the software level</t>
  </si>
  <si>
    <t>Second edition</t>
  </si>
  <si>
    <t>2018-12</t>
  </si>
  <si>
    <t>ISO26262-9 Automotive safety integrity level (ASIL)-oriented and safety-oriented analyses</t>
  </si>
  <si>
    <r>
      <rPr>
        <sz val="11"/>
        <color indexed="8"/>
        <rFont val="Arial"/>
        <family val="2"/>
      </rPr>
      <t>4 Terms and Abbreviation/</t>
    </r>
    <r>
      <rPr>
        <sz val="11"/>
        <color indexed="8"/>
        <rFont val="微软雅黑"/>
        <family val="2"/>
        <charset val="134"/>
      </rPr>
      <t>术语和缩略词</t>
    </r>
  </si>
  <si>
    <r>
      <rPr>
        <sz val="10"/>
        <color indexed="8"/>
        <rFont val="Calibri"/>
        <family val="2"/>
      </rPr>
      <t xml:space="preserve">Terms and Abbreviation
</t>
    </r>
    <r>
      <rPr>
        <sz val="10"/>
        <color indexed="8"/>
        <rFont val="SimSun"/>
        <charset val="134"/>
      </rPr>
      <t>术语</t>
    </r>
    <r>
      <rPr>
        <sz val="10"/>
        <color indexed="8"/>
        <rFont val="Calibri"/>
        <family val="2"/>
      </rPr>
      <t>/</t>
    </r>
    <r>
      <rPr>
        <sz val="10"/>
        <color indexed="8"/>
        <rFont val="SimSun"/>
        <charset val="134"/>
      </rPr>
      <t>缩略词</t>
    </r>
  </si>
  <si>
    <r>
      <rPr>
        <sz val="10"/>
        <color indexed="8"/>
        <rFont val="Calibri"/>
        <family val="2"/>
      </rPr>
      <t xml:space="preserve">description
</t>
    </r>
    <r>
      <rPr>
        <sz val="10"/>
        <color indexed="8"/>
        <rFont val="SimSun"/>
        <charset val="134"/>
      </rPr>
      <t>描述</t>
    </r>
  </si>
  <si>
    <t>SM</t>
  </si>
  <si>
    <r>
      <rPr>
        <sz val="10"/>
        <color indexed="8"/>
        <rFont val="Calibri"/>
        <family val="2"/>
      </rPr>
      <t xml:space="preserve">security mechanism
</t>
    </r>
    <r>
      <rPr>
        <sz val="10"/>
        <color indexed="8"/>
        <rFont val="SimSun"/>
        <charset val="134"/>
      </rPr>
      <t>安全机制</t>
    </r>
  </si>
  <si>
    <t>DFA</t>
  </si>
  <si>
    <r>
      <rPr>
        <sz val="10"/>
        <color indexed="8"/>
        <rFont val="Calibri"/>
        <family val="2"/>
      </rPr>
      <t xml:space="preserve">Dependent Failure Analysis
</t>
    </r>
    <r>
      <rPr>
        <sz val="10"/>
        <color indexed="8"/>
        <rFont val="SimSun"/>
        <charset val="134"/>
      </rPr>
      <t>相关失效分析</t>
    </r>
  </si>
  <si>
    <t>CCF</t>
  </si>
  <si>
    <r>
      <rPr>
        <sz val="10"/>
        <color indexed="8"/>
        <rFont val="Calibri"/>
        <family val="2"/>
      </rPr>
      <t xml:space="preserve">Common CauseFailure
</t>
    </r>
    <r>
      <rPr>
        <sz val="10"/>
        <color indexed="8"/>
        <rFont val="SimSun"/>
        <charset val="134"/>
      </rPr>
      <t>共因失效</t>
    </r>
  </si>
  <si>
    <t>CF</t>
  </si>
  <si>
    <r>
      <rPr>
        <sz val="10"/>
        <color indexed="8"/>
        <rFont val="Calibri"/>
        <family val="2"/>
      </rPr>
      <t xml:space="preserve">Cascading Failure
</t>
    </r>
    <r>
      <rPr>
        <sz val="10"/>
        <color indexed="8"/>
        <rFont val="SimSun"/>
        <charset val="134"/>
      </rPr>
      <t>级联失效</t>
    </r>
  </si>
  <si>
    <t>DFI</t>
  </si>
  <si>
    <t>dependent failure initiator
相关失效引发源</t>
  </si>
  <si>
    <t>SG</t>
  </si>
  <si>
    <t>safety goal
安全目标</t>
  </si>
  <si>
    <t>static architecture</t>
  </si>
  <si>
    <t>1 Introduction of Product</t>
  </si>
  <si>
    <t>SRQ_001</t>
  </si>
  <si>
    <r>
      <rPr>
        <sz val="11"/>
        <color indexed="8"/>
        <rFont val="SimSun"/>
        <charset val="134"/>
      </rPr>
      <t>这是基于</t>
    </r>
    <r>
      <rPr>
        <sz val="11"/>
        <color indexed="8"/>
        <rFont val="Arial"/>
        <family val="2"/>
      </rPr>
      <t>ABC</t>
    </r>
    <r>
      <rPr>
        <sz val="11"/>
        <color indexed="8"/>
        <rFont val="SimSun"/>
        <charset val="134"/>
      </rPr>
      <t>项目的整车控制系统。</t>
    </r>
  </si>
  <si>
    <t>SRQ_002</t>
  </si>
  <si>
    <t>本规范定义了项目的软件需求。</t>
  </si>
  <si>
    <t>初始的静态架构图（SWC）</t>
  </si>
  <si>
    <t>Dynamic  Architecture</t>
  </si>
  <si>
    <t>数据流引用到这里，数据流要有信号名称体现</t>
  </si>
  <si>
    <t>IN-HALL</t>
  </si>
  <si>
    <t>ASIL X</t>
  </si>
  <si>
    <t>Vin01</t>
  </si>
  <si>
    <t>swc2</t>
  </si>
  <si>
    <t>SW_DF_002</t>
  </si>
  <si>
    <t>DFA Top Event From FFI/Independent</t>
  </si>
  <si>
    <t>"I":Independce.
[ISO26262-9-2018] Freedom from interference and absence of common cause failures are used to justify independence when performing ASIL decomposition
"F":Freedom from interference.
[ISO26262-9-2018] Freedom from interference is used to justify the coexistence of elements with different, or no, assigned ASIL.
"O": No need to disguss.</t>
  </si>
  <si>
    <t>Top EventID</t>
  </si>
  <si>
    <t>Event Description</t>
  </si>
  <si>
    <t>Function  Description</t>
  </si>
  <si>
    <t xml:space="preserve">ASIL </t>
  </si>
  <si>
    <t>common cause failure ?</t>
  </si>
  <si>
    <t>cascading failure ?</t>
  </si>
  <si>
    <t>﻿coexistence-
Freedom from interface?</t>
  </si>
  <si>
    <t>— similar and dissimilar redundant elements; (功能冗余，分解)</t>
  </si>
  <si>
    <t>— ASIL decomposition（分解）</t>
  </si>
  <si>
    <t>— different functions implemented with identical software or hardware elements;(同一个集成模块）</t>
  </si>
  <si>
    <t>— functions and their respective safety mechanisms;（分解）</t>
  </si>
  <si>
    <t>— partitions of functions or software elements;(QM, ASIL  FFI)</t>
  </si>
  <si>
    <t>— physical distance between hardware elements, with or without a barrier; and</t>
  </si>
  <si>
    <t>— common external resources.（按照最高等级开发）</t>
  </si>
  <si>
    <t>SW_DF_001</t>
  </si>
  <si>
    <t>SWC1: SWC2 &amp; SWC3</t>
  </si>
  <si>
    <t>SWC2 FUNCTION &amp;
SWC3 FUNCTION</t>
  </si>
  <si>
    <t>D(D) &amp; QM(D)</t>
  </si>
  <si>
    <t>Y</t>
  </si>
  <si>
    <t>SW DFA</t>
  </si>
  <si>
    <t>公式格式，误删</t>
  </si>
  <si>
    <t>DF-I Category</t>
  </si>
  <si>
    <t>Interpretation</t>
  </si>
  <si>
    <t>DF-Initiator Examples</t>
  </si>
  <si>
    <t>Applicable?</t>
  </si>
  <si>
    <t>safety  goal related</t>
  </si>
  <si>
    <t>Counter Measure</t>
  </si>
  <si>
    <t>Counter Measure ID</t>
  </si>
  <si>
    <t>Evidence</t>
  </si>
  <si>
    <t>sufficient?</t>
  </si>
  <si>
    <t>Comment</t>
  </si>
  <si>
    <t>Shared resource</t>
  </si>
  <si>
    <t>The same software, hardware, or system element instance used by the two elements which are therefore affected by the failure or unavailability of that shared resource, i.e. from a physical perspective.</t>
  </si>
  <si>
    <t xml:space="preserve">Software component used by more than one other software component, e.g.
– reused standard software modules
</t>
  </si>
  <si>
    <t>not applicable</t>
  </si>
  <si>
    <t xml:space="preserve">– libraries
</t>
  </si>
  <si>
    <t>Yes : 来源于同一个AFE lib</t>
  </si>
  <si>
    <t>LIB 错误，
传递给SWC1和SWC2 错误数据，
造成计算错误的灯光命令，
违背安全目标SG01</t>
  </si>
  <si>
    <t>AFE LIB SWC  满足ASIL C[按照最高等级开发]</t>
  </si>
  <si>
    <t xml:space="preserve">SW_DFA_SM_001: </t>
  </si>
  <si>
    <t>通过ASIL C测试</t>
  </si>
  <si>
    <t>AFE LIB SWC 满足ASIL C 开发和测试</t>
  </si>
  <si>
    <t xml:space="preserve">– middleware
</t>
  </si>
  <si>
    <t xml:space="preserve">– basic software
</t>
  </si>
  <si>
    <t xml:space="preserve">– operating system including scheduler
</t>
  </si>
  <si>
    <t xml:space="preserve">– communication stack
</t>
  </si>
  <si>
    <t xml:space="preserve">– parameter file
</t>
  </si>
  <si>
    <t xml:space="preserve">– execution time
</t>
  </si>
  <si>
    <t>– allocated memory</t>
  </si>
  <si>
    <t>Components of
identical type</t>
  </si>
  <si>
    <t>Identical components may fail with higher probability simultaneously (common mode failures)</t>
  </si>
  <si>
    <t xml:space="preserve">• Reused standard software modules
</t>
  </si>
  <si>
    <t xml:space="preserve">• Standard library components
</t>
  </si>
  <si>
    <t xml:space="preserve">• Middleware
</t>
  </si>
  <si>
    <t xml:space="preserve">• Operating system
</t>
  </si>
  <si>
    <t>• Communication stack</t>
  </si>
  <si>
    <t xml:space="preserve">
• Parameter set</t>
  </si>
  <si>
    <t>Communication
between the two
functions</t>
  </si>
  <si>
    <t>Receiving function is affected by information that is false, lost, sent multiple times, or in the wrong order etc. from the sender</t>
  </si>
  <si>
    <t xml:space="preserve">• Information passed via argument through a function call, or via writing/reading a variable being global to the two software functions (data flow)
</t>
  </si>
  <si>
    <t xml:space="preserve">• Data or message corruption/ repetition*/ loss*/ delay*/ masquerading or incorrect addressing of information*
</t>
  </si>
  <si>
    <t xml:space="preserve">• Insertion*/ sequence of information*
</t>
  </si>
  <si>
    <t xml:space="preserve">• Corruption of information*
</t>
  </si>
  <si>
    <t xml:space="preserve">• Asymmetric information sent from a sender to multiple receivers*
</t>
  </si>
  <si>
    <t xml:space="preserve">• Information from a sender received by only a subset of the receivers*
</t>
  </si>
  <si>
    <t>• Blocking access to a communication channel*</t>
  </si>
  <si>
    <t>Shared information
inputs</t>
  </si>
  <si>
    <t>Same information consumed by the two functions even in absence of shared resources, i.e. from a functional perspective</t>
  </si>
  <si>
    <t xml:space="preserve">• Calibration parameters
</t>
  </si>
  <si>
    <t xml:space="preserve">• Constants, or variables, being global to the two software functions
</t>
  </si>
  <si>
    <t xml:space="preserve">• Basic software passes data (read from hardware register and converted into logical information) to two application software functions
</t>
  </si>
  <si>
    <t>• Data / function parameter arguments / messages delivered by software function to more than one other function
See also “Communication between the two functions”</t>
  </si>
  <si>
    <t>Environmental
influences</t>
  </si>
  <si>
    <t>Common external environmental disturbance affects both functions</t>
  </si>
  <si>
    <t xml:space="preserve">System-level: mechanical shock, water ingress
                                                                                                                                                                            </t>
  </si>
  <si>
    <t xml:space="preserve">Software-level: not applicable for Software
    </t>
  </si>
  <si>
    <t xml:space="preserve">Hardware-level: under and over voltage of the power supply        </t>
  </si>
  <si>
    <t>Unintended impact</t>
  </si>
  <si>
    <t>Two functions affecting each other’s elements directly via an implicit, that is unintended interface.</t>
  </si>
  <si>
    <t xml:space="preserve">• Memory / corruption of content*
– “wild pointers“ (including program counter stack)
</t>
  </si>
  <si>
    <t xml:space="preserve">– memory mis-allocation
</t>
  </si>
  <si>
    <t xml:space="preserve">– memory leaks
</t>
  </si>
  <si>
    <t xml:space="preserve">– read/write access to memory allocated to another software element*
</t>
  </si>
  <si>
    <t xml:space="preserve">– buffer under-/overflow
</t>
  </si>
  <si>
    <t xml:space="preserve">• Timing and execution
– deadlocks*
</t>
  </si>
  <si>
    <t xml:space="preserve">– livelocks*
</t>
  </si>
  <si>
    <t xml:space="preserve">– incorrect allocation of execution time*
</t>
  </si>
  <si>
    <t>– incorrect synchronization between software elements*</t>
  </si>
  <si>
    <t>Systematic coupling</t>
  </si>
  <si>
    <t>Systematic causes from human or tool errors can lead to the simultaneous failure of more than one function</t>
  </si>
  <si>
    <t xml:space="preserve">• Manufacturing fault / repair fault (e.g. false flashing, false calibration reference for sensors)
</t>
  </si>
  <si>
    <t xml:space="preserve">• Non-diverse development approaches including:
– same software tools (e.g. IDE, compiler, linker)
</t>
  </si>
  <si>
    <t xml:space="preserve">– same algorithms
</t>
  </si>
  <si>
    <t xml:space="preserve">– same programming and/or modelling language used
</t>
  </si>
  <si>
    <t xml:space="preserve">– same complier/linker used
</t>
  </si>
  <si>
    <t xml:space="preserve">• Same personnel
</t>
  </si>
  <si>
    <t xml:space="preserve">• Same social-cultural context (even if different personnel)
</t>
  </si>
  <si>
    <t xml:space="preserve">• Development fault, e.g.
– human error
</t>
  </si>
  <si>
    <t xml:space="preserve">– insufficiently qualified personnel
</t>
  </si>
  <si>
    <t xml:space="preserve">– process weaknesses
</t>
  </si>
  <si>
    <t>– insufficient methods</t>
  </si>
  <si>
    <t>Safety measure list</t>
  </si>
  <si>
    <t>ID</t>
  </si>
  <si>
    <t>Safety Mechanism Description</t>
  </si>
  <si>
    <t>SSR ID</t>
  </si>
  <si>
    <t>ASIL</t>
  </si>
  <si>
    <t xml:space="preserve">Allocation </t>
  </si>
  <si>
    <t>DC</t>
  </si>
  <si>
    <t>sufficient</t>
  </si>
  <si>
    <t>SG01_DFA_SM_01</t>
  </si>
  <si>
    <t>When WDT-SWC monitor the time_task deviation is over [10ms],shall reset the time_task
当WDT-SWC监测到时间任务偏差超过[10ms]时，应重置时间任务</t>
  </si>
  <si>
    <t>SSR_00x</t>
  </si>
  <si>
    <t>SWC -XX</t>
  </si>
  <si>
    <t>HIGH</t>
  </si>
  <si>
    <t xml:space="preserve">yes - </t>
  </si>
  <si>
    <t>SG01_DFA_SM_02</t>
  </si>
  <si>
    <t>When the RAM-SWC monitor the RAM fault, shall reset the RAM within [10ms]
当RAM-SWC监测到RAM故障时，应在[10ms]内重置RAM</t>
  </si>
  <si>
    <t>SG02_DFA_SM_01</t>
  </si>
  <si>
    <t>当电源电压检测-SWC模块检测到电压超过32V后，10ms内切断供电电源</t>
  </si>
  <si>
    <t>SG03_DFA_SM_01</t>
  </si>
  <si>
    <t>当执行时间分配错误时，将执行时间重新分配，该执行时间作为标定量</t>
  </si>
  <si>
    <r>
      <rPr>
        <sz val="18"/>
        <color indexed="8"/>
        <rFont val="Arial"/>
        <family val="2"/>
      </rPr>
      <t xml:space="preserve">              Template Change History
</t>
    </r>
    <r>
      <rPr>
        <sz val="18"/>
        <color indexed="8"/>
        <rFont val="Arial"/>
        <family val="2"/>
      </rPr>
      <t xml:space="preserve">                        </t>
    </r>
    <r>
      <rPr>
        <sz val="18"/>
        <color indexed="8"/>
        <rFont val="SimSun"/>
        <charset val="134"/>
      </rPr>
      <t>模板变更履历</t>
    </r>
  </si>
  <si>
    <t>SG1</t>
  </si>
  <si>
    <t>VIN01</t>
  </si>
  <si>
    <t>SW_DF_003</t>
  </si>
  <si>
    <t>S1(QM）</t>
  </si>
  <si>
    <t>S2（ASIL D)</t>
  </si>
  <si>
    <t>ASIL D</t>
  </si>
  <si>
    <t>VIN01: S1&amp;S2&amp;S3&amp;</t>
  </si>
  <si>
    <t>ASIL X/QM</t>
  </si>
  <si>
    <t>Interaction ID</t>
  </si>
  <si>
    <t>Interaction Description</t>
  </si>
  <si>
    <t>DF-Initiator</t>
  </si>
  <si>
    <t>Failure effect for SG1</t>
  </si>
  <si>
    <t>Counter Measure Description</t>
  </si>
  <si>
    <t>SM_ID</t>
  </si>
  <si>
    <t>Sufficient?</t>
  </si>
  <si>
    <t>SW_DFA_1_5_7 - "OS" And "WdgM" NO Cascading Failure and NO Common Cause Failure</t>
  </si>
  <si>
    <t>SW_DFA_1_5_7</t>
  </si>
  <si>
    <t>"OS" And "WdgM" NO Cascading Failure and NO Common Cause Failure</t>
  </si>
  <si>
    <t>NA</t>
  </si>
  <si>
    <t>2) libraries</t>
  </si>
  <si>
    <t>3) middleware</t>
  </si>
  <si>
    <t>4) basic software</t>
  </si>
  <si>
    <t>5) operating system including scheduler</t>
  </si>
  <si>
    <t>Monitor scheduler fault</t>
  </si>
  <si>
    <t>Refer to SSR-19-1
SSR-19-2
SSR-19-3</t>
  </si>
  <si>
    <t>6) communication stack</t>
  </si>
  <si>
    <t>7) parameter file</t>
  </si>
  <si>
    <t>Check configuration paramater fault</t>
  </si>
  <si>
    <t>Refer to SSR-18-1</t>
  </si>
  <si>
    <t>8) execution time</t>
  </si>
  <si>
    <t>Monitor component runnable execution time, avoid dead lock and overtime</t>
  </si>
  <si>
    <t>9) allocated memory</t>
  </si>
  <si>
    <t>Implement MPU Or develop according to higher ASIL</t>
  </si>
  <si>
    <t>Refer to SSR-13-1</t>
  </si>
  <si>
    <t>Identical components may fail with higher probability simultaneously (common mode failures).</t>
  </si>
  <si>
    <t>Y</t>
    <phoneticPr fontId="5" type="noConversion"/>
  </si>
  <si>
    <t>BSW and ASW communication by RTE with E2E protection</t>
    <phoneticPr fontId="5" type="noConversion"/>
  </si>
  <si>
    <t>SW_DFA_10</t>
    <phoneticPr fontId="5" type="noConversion"/>
  </si>
  <si>
    <t>Autosar RTE</t>
    <phoneticPr fontId="5" type="noConversion"/>
  </si>
  <si>
    <t xml:space="preserve">yes,AUTOSAR certificate </t>
    <phoneticPr fontId="5" type="noConversion"/>
  </si>
  <si>
    <t>ECC and EDC check RAM and Flash fault</t>
  </si>
  <si>
    <t>2) memory mis-allocation</t>
  </si>
  <si>
    <t>Check memory allocation fault.</t>
  </si>
  <si>
    <t>3) memory leaks</t>
  </si>
  <si>
    <t>Monitor OS stack fault</t>
  </si>
  <si>
    <t>4) read/write access to memory allocated to another software element*</t>
  </si>
  <si>
    <t>Implement MPU</t>
  </si>
  <si>
    <t>5) buffer under-/overflow</t>
  </si>
  <si>
    <t>Implement MPU on task stack Or monitor task stack</t>
  </si>
  <si>
    <t>Static and dynamic check running fault.</t>
  </si>
  <si>
    <t>Implement QA window watchdog to monitor task running.</t>
  </si>
  <si>
    <t>2) livelocks*</t>
  </si>
  <si>
    <t>3) incorrect allocation of execution time*</t>
  </si>
  <si>
    <t>4) incorrect synchronization between software elements*</t>
  </si>
  <si>
    <t>2) same algorithms</t>
  </si>
  <si>
    <t>3) same programming and/or modelling language used</t>
  </si>
  <si>
    <t>4) same complier/linker used</t>
  </si>
  <si>
    <t>Use trusted tool</t>
  </si>
  <si>
    <t>Function development by different person</t>
  </si>
  <si>
    <t>Development according to ISO26262 process</t>
  </si>
  <si>
    <t>2) insufficiently qualified personnel</t>
  </si>
  <si>
    <t>Development according to ISO26263 process</t>
  </si>
  <si>
    <t>3) process weaknesses</t>
  </si>
  <si>
    <t>Development according to ISO26264 process</t>
  </si>
  <si>
    <t>4) insufficient methods</t>
  </si>
  <si>
    <t>Development according to ISO26265 process</t>
  </si>
  <si>
    <t xml:space="preserve"> independent?</t>
  </si>
  <si>
    <t>◆ Software component used by more than one other software component, e.g
1) reused standard software modules</t>
  </si>
  <si>
    <t>◆ Reused standard software modules</t>
  </si>
  <si>
    <t>◆ Standard library components</t>
  </si>
  <si>
    <t>◆ Middleware</t>
  </si>
  <si>
    <t>◆ Operating system</t>
  </si>
  <si>
    <t>OS</t>
  </si>
  <si>
    <t>◆ Communication stack</t>
  </si>
  <si>
    <t>◆ Parameter set</t>
  </si>
  <si>
    <t>◆ Information passed via argument through a function call, or via writing/reading a variable being global to the two software functions (data flow)</t>
  </si>
  <si>
    <t>◆ Data or message corruption/ repetition*/ loss*/ delay*/ masquerading or incorrect addressing of information*</t>
  </si>
  <si>
    <t>◆ Insertion*/ sequence of information*</t>
  </si>
  <si>
    <t>一般是通讯相关的有，比如RTE 传递的都有，</t>
  </si>
  <si>
    <t>RTE transferred messsage  shall protection E2E</t>
  </si>
  <si>
    <t>◆ Corruption of information*</t>
  </si>
  <si>
    <t>RTE</t>
  </si>
  <si>
    <t>◆ Asymmetric information sent from a sender to multiple receivers*</t>
  </si>
  <si>
    <t>◆ Information from a sender received by only a subset of the receivers*</t>
  </si>
  <si>
    <t>◆ Blocking access to a communication channel*</t>
  </si>
  <si>
    <t>◆ Calibration parameters</t>
  </si>
  <si>
    <t>◆ Constants, or variables, being global to the two software functions</t>
  </si>
  <si>
    <t>Refer to SSR-18-x</t>
  </si>
  <si>
    <t>◆ Basic software passes data (read from hardware register and converted into logical information) to two application software functions</t>
  </si>
  <si>
    <t>一般底层的都有</t>
  </si>
  <si>
    <t>◆ Data / function parameter arguments / messages delivered by software function to more than one other function
See also “Communication between the two functions”</t>
  </si>
  <si>
    <t>◆ System-level: mechanical shock, water ingress</t>
  </si>
  <si>
    <t>◆ Software-level: not applicable for Software</t>
  </si>
  <si>
    <t xml:space="preserve">◆ Hardware-level: under and over voltage of the power supply  </t>
  </si>
  <si>
    <t>◆ Memory / corruption of content*
1) “wild pointers“ (including program counter stack)</t>
  </si>
  <si>
    <t>Do not use dynamic memory allocation, except OS，如果用需要</t>
  </si>
  <si>
    <t>◆ Timing and execution
1) deadlocks*</t>
  </si>
  <si>
    <t>◆ Manufacturing fault / repair fault (e.g. false flashing, false calibration reference for sensors)</t>
  </si>
  <si>
    <t>工具</t>
  </si>
  <si>
    <t>the Tools shall pass TCL evaluation</t>
  </si>
  <si>
    <t>◆ Non-diverse development approaches including:
1) same software tools (e.g. IDE, compiler, linker)</t>
  </si>
  <si>
    <t>基本功能和功能安全，分解的都要考虑</t>
  </si>
  <si>
    <t>use diverse algorithms</t>
  </si>
  <si>
    <t>MAAB/misra-c</t>
  </si>
  <si>
    <t>shall monitor the rules to fulfil ASIL D</t>
  </si>
  <si>
    <t>◆ Same personnel</t>
  </si>
  <si>
    <t>◆ Same social-cultural context (even if different personnel)</t>
  </si>
  <si>
    <t>◆ Development fault, e.g.
1) human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</si>
</sst>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 &quot;"/>
    <numFmt numFmtId="165" formatCode="mm/dd/yyyy"/>
    <numFmt numFmtId="166" formatCode="dd/mm/yy"/>
  </numFmts>
  <fonts count="46">
    <font>
      <sz val="11"/>
      <color indexed="8"/>
      <name val="SimSun"/>
      <charset val="134"/>
    </font>
    <font>
      <sz val="18"/>
      <color indexed="8"/>
      <name val="Arial"/>
      <family val="2"/>
    </font>
    <font>
      <sz val="10"/>
      <color indexed="8"/>
      <name val="Arial"/>
      <family val="2"/>
    </font>
    <font>
      <sz val="10"/>
      <color indexed="8"/>
      <name val="Calibri"/>
      <family val="2"/>
    </font>
    <font>
      <sz val="10"/>
      <color indexed="8"/>
      <name val="SimSun"/>
      <charset val="134"/>
    </font>
    <font>
      <sz val="10"/>
      <color indexed="12"/>
      <name val="SimSun"/>
      <charset val="134"/>
    </font>
    <font>
      <sz val="11"/>
      <color indexed="8"/>
      <name val="Calibri"/>
      <family val="2"/>
    </font>
    <font>
      <b/>
      <sz val="11"/>
      <color indexed="8"/>
      <name val="Calibri"/>
      <family val="2"/>
    </font>
    <font>
      <b/>
      <sz val="18"/>
      <color indexed="8"/>
      <name val="Calibri"/>
      <family val="2"/>
    </font>
    <font>
      <sz val="10"/>
      <color theme="1"/>
      <name val="Calibri"/>
      <family val="2"/>
    </font>
    <font>
      <b/>
      <sz val="10"/>
      <color theme="1"/>
      <name val="Calibri"/>
      <family val="2"/>
    </font>
    <font>
      <b/>
      <sz val="12"/>
      <color theme="1"/>
      <name val="Calibri"/>
      <family val="2"/>
    </font>
    <font>
      <sz val="10"/>
      <name val="Cambria"/>
      <family val="1"/>
    </font>
    <font>
      <sz val="12"/>
      <color theme="7" tint="-0.249977111117893"/>
      <name val="Cambria"/>
      <family val="1"/>
    </font>
    <font>
      <sz val="12"/>
      <name val="Cambria"/>
      <family val="1"/>
    </font>
    <font>
      <b/>
      <sz val="14"/>
      <color theme="0"/>
      <name val="Cambria"/>
      <family val="1"/>
    </font>
    <font>
      <b/>
      <sz val="10"/>
      <color theme="0"/>
      <name val="Cambria"/>
      <family val="1"/>
    </font>
    <font>
      <b/>
      <sz val="10"/>
      <name val="Cambria"/>
      <family val="1"/>
    </font>
    <font>
      <sz val="10"/>
      <color theme="7" tint="-0.249977111117893"/>
      <name val="Cambria"/>
      <family val="1"/>
    </font>
    <font>
      <sz val="12"/>
      <color theme="1"/>
      <name val="Cambria"/>
      <family val="1"/>
    </font>
    <font>
      <sz val="11"/>
      <color rgb="FF002060"/>
      <name val="Calibri"/>
      <family val="2"/>
    </font>
    <font>
      <b/>
      <sz val="10"/>
      <color indexed="8"/>
      <name val="Calibri"/>
      <family val="2"/>
    </font>
    <font>
      <sz val="11"/>
      <color theme="1"/>
      <name val="Arial"/>
      <family val="2"/>
    </font>
    <font>
      <sz val="11"/>
      <color indexed="8"/>
      <name val="Arial"/>
      <family val="2"/>
    </font>
    <font>
      <sz val="11"/>
      <color indexed="10"/>
      <name val="Arial"/>
      <family val="2"/>
    </font>
    <font>
      <sz val="10"/>
      <color indexed="8"/>
      <name val="Cambria"/>
      <family val="1"/>
    </font>
    <font>
      <sz val="28"/>
      <color indexed="8"/>
      <name val="Calibri"/>
      <family val="2"/>
    </font>
    <font>
      <sz val="20"/>
      <color indexed="8"/>
      <name val="SimSun"/>
      <charset val="134"/>
    </font>
    <font>
      <sz val="12"/>
      <color indexed="8"/>
      <name val="SimSun"/>
      <charset val="134"/>
    </font>
    <font>
      <sz val="22"/>
      <color indexed="8"/>
      <name val="Arial"/>
      <family val="2"/>
    </font>
    <font>
      <sz val="12"/>
      <color indexed="8"/>
      <name val="Calibri"/>
      <family val="2"/>
    </font>
    <font>
      <sz val="22"/>
      <color indexed="8"/>
      <name val="Calibri"/>
      <family val="2"/>
    </font>
    <font>
      <sz val="12"/>
      <name val="宋体"/>
      <charset val="134"/>
    </font>
    <font>
      <sz val="11"/>
      <color indexed="8"/>
      <name val="微软雅黑"/>
      <family val="2"/>
      <charset val="134"/>
    </font>
    <font>
      <sz val="18"/>
      <color indexed="8"/>
      <name val="SimSun"/>
      <charset val="134"/>
    </font>
    <font>
      <sz val="10"/>
      <color indexed="12"/>
      <name val="Arial"/>
      <family val="2"/>
    </font>
    <font>
      <sz val="28"/>
      <color indexed="8"/>
      <name val="SimSun"/>
      <charset val="134"/>
    </font>
    <font>
      <b/>
      <sz val="9"/>
      <color rgb="FF000000"/>
      <name val="Tahoma"/>
      <family val="2"/>
    </font>
    <font>
      <sz val="10"/>
      <color rgb="FF000000"/>
      <name val="Tahoma"/>
      <family val="2"/>
    </font>
    <font>
      <sz val="9"/>
      <color rgb="FF000000"/>
      <name val="Tahoma"/>
      <family val="2"/>
    </font>
    <font>
      <b/>
      <sz val="10"/>
      <color rgb="FF000000"/>
      <name val="Tahoma"/>
      <family val="2"/>
    </font>
    <font>
      <sz val="8"/>
      <name val="SimSun"/>
      <charset val="134"/>
    </font>
    <font>
      <sz val="12"/>
      <name val="宋体"/>
      <family val="3"/>
      <charset val="134"/>
    </font>
    <font>
      <b/>
      <sz val="8"/>
      <name val="Cambria"/>
      <family val="1"/>
    </font>
    <font>
      <sz val="8"/>
      <color rgb="FF000000"/>
      <name val="Cambria"/>
      <family val="1"/>
    </font>
    <font>
      <sz val="8"/>
      <name val="Cambria"/>
      <family val="1"/>
    </font>
  </fonts>
  <fills count="16">
    <fill>
      <patternFill patternType="none"/>
    </fill>
    <fill>
      <patternFill patternType="gray125"/>
    </fill>
    <fill>
      <patternFill patternType="solid">
        <fgColor indexed="10"/>
        <bgColor indexed="64"/>
      </patternFill>
    </fill>
    <fill>
      <patternFill patternType="solid">
        <fgColor theme="9" tint="0.79992065187536243"/>
        <bgColor indexed="64"/>
      </patternFill>
    </fill>
    <fill>
      <patternFill patternType="solid">
        <fgColor theme="8" tint="0.79992065187536243"/>
        <bgColor indexed="64"/>
      </patternFill>
    </fill>
    <fill>
      <patternFill patternType="solid">
        <fgColor rgb="FFC6FFFF"/>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theme="7" tint="0.39991454817346722"/>
        <bgColor indexed="64"/>
      </patternFill>
    </fill>
    <fill>
      <patternFill patternType="solid">
        <fgColor theme="7" tint="0.79992065187536243"/>
        <bgColor indexed="64"/>
      </patternFill>
    </fill>
    <fill>
      <patternFill patternType="solid">
        <fgColor indexed="13"/>
        <bgColor indexed="64"/>
      </patternFill>
    </fill>
    <fill>
      <patternFill patternType="solid">
        <fgColor theme="0" tint="-4.9989318521683403E-2"/>
        <bgColor indexed="64"/>
      </patternFill>
    </fill>
    <fill>
      <patternFill patternType="solid">
        <fgColor indexed="14"/>
        <bgColor indexed="64"/>
      </patternFill>
    </fill>
    <fill>
      <patternFill patternType="solid">
        <fgColor indexed="9"/>
        <bgColor indexed="64"/>
      </patternFill>
    </fill>
    <fill>
      <patternFill patternType="solid">
        <fgColor rgb="FFFFC000"/>
        <bgColor indexed="64"/>
      </patternFill>
    </fill>
    <fill>
      <patternFill patternType="solid">
        <fgColor rgb="FFFFFFFF"/>
        <bgColor rgb="FFFFFFCC"/>
      </patternFill>
    </fill>
  </fills>
  <borders count="44">
    <border>
      <left/>
      <right/>
      <top/>
      <bottom/>
      <diagonal/>
    </border>
    <border>
      <left style="thin">
        <color indexed="8"/>
      </left>
      <right style="thin">
        <color indexed="8"/>
      </right>
      <top style="thin">
        <color indexed="8"/>
      </top>
      <bottom style="thin">
        <color indexed="8"/>
      </bottom>
      <diagonal/>
    </border>
    <border>
      <left style="thin">
        <color indexed="11"/>
      </left>
      <right/>
      <top style="thin">
        <color indexed="8"/>
      </top>
      <bottom/>
      <diagonal/>
    </border>
    <border>
      <left/>
      <right/>
      <top style="thin">
        <color indexed="8"/>
      </top>
      <bottom/>
      <diagonal/>
    </border>
    <border>
      <left style="thin">
        <color indexed="11"/>
      </left>
      <right/>
      <top/>
      <bottom style="thin">
        <color indexed="11"/>
      </bottom>
      <diagonal/>
    </border>
    <border>
      <left/>
      <right/>
      <top/>
      <bottom style="thin">
        <color indexed="11"/>
      </bottom>
      <diagonal/>
    </border>
    <border>
      <left style="thin">
        <color indexed="8"/>
      </left>
      <right style="thin">
        <color indexed="11"/>
      </right>
      <top style="thin">
        <color indexed="8"/>
      </top>
      <bottom style="thin">
        <color indexed="8"/>
      </bottom>
      <diagonal/>
    </border>
    <border>
      <left/>
      <right style="thin">
        <color indexed="11"/>
      </right>
      <top style="thin">
        <color indexed="8"/>
      </top>
      <bottom/>
      <diagonal/>
    </border>
    <border>
      <left/>
      <right style="thin">
        <color indexed="11"/>
      </right>
      <top/>
      <bottom style="thin">
        <color indexed="11"/>
      </bottom>
      <diagonal/>
    </border>
    <border>
      <left style="thin">
        <color indexed="11"/>
      </left>
      <right style="thin">
        <color indexed="11"/>
      </right>
      <top style="thin">
        <color indexed="11"/>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right style="thin">
        <color indexed="8"/>
      </right>
      <top style="thin">
        <color auto="1"/>
      </top>
      <bottom style="thin">
        <color auto="1"/>
      </bottom>
      <diagonal/>
    </border>
    <border>
      <left style="thin">
        <color indexed="8"/>
      </left>
      <right style="thin">
        <color indexed="8"/>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indexed="8"/>
      </left>
      <right style="thin">
        <color auto="1"/>
      </right>
      <top style="thin">
        <color auto="1"/>
      </top>
      <bottom style="thin">
        <color auto="1"/>
      </bottom>
      <diagonal/>
    </border>
    <border>
      <left style="thin">
        <color indexed="8"/>
      </left>
      <right/>
      <top style="thin">
        <color indexed="8"/>
      </top>
      <bottom/>
      <diagonal/>
    </border>
    <border>
      <left style="thin">
        <color indexed="11"/>
      </left>
      <right style="thin">
        <color indexed="11"/>
      </right>
      <top style="thin">
        <color indexed="8"/>
      </top>
      <bottom style="thin">
        <color indexed="11"/>
      </bottom>
      <diagonal/>
    </border>
    <border>
      <left style="thin">
        <color indexed="11"/>
      </left>
      <right style="thin">
        <color indexed="11"/>
      </right>
      <top style="thin">
        <color indexed="8"/>
      </top>
      <bottom style="thin">
        <color indexed="8"/>
      </bottom>
      <diagonal/>
    </border>
    <border>
      <left style="thin">
        <color indexed="11"/>
      </left>
      <right style="thin">
        <color indexed="8"/>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medium">
        <color indexed="8"/>
      </top>
      <bottom style="thin">
        <color indexed="8"/>
      </bottom>
      <diagonal/>
    </border>
    <border>
      <left style="thin">
        <color indexed="8"/>
      </left>
      <right style="thin">
        <color indexed="11"/>
      </right>
      <top style="thin">
        <color indexed="11"/>
      </top>
      <bottom style="thin">
        <color indexed="11"/>
      </bottom>
      <diagonal/>
    </border>
    <border>
      <left style="medium">
        <color indexed="8"/>
      </left>
      <right style="thin">
        <color indexed="11"/>
      </right>
      <top style="thin">
        <color indexed="11"/>
      </top>
      <bottom style="thin">
        <color indexed="11"/>
      </bottom>
      <diagonal/>
    </border>
    <border>
      <left style="thin">
        <color indexed="11"/>
      </left>
      <right/>
      <top style="thin">
        <color indexed="11"/>
      </top>
      <bottom/>
      <diagonal/>
    </border>
    <border>
      <left/>
      <right/>
      <top style="thin">
        <color indexed="11"/>
      </top>
      <bottom/>
      <diagonal/>
    </border>
    <border>
      <left style="thin">
        <color indexed="11"/>
      </left>
      <right/>
      <top/>
      <bottom/>
      <diagonal/>
    </border>
    <border>
      <left/>
      <right style="thin">
        <color indexed="11"/>
      </right>
      <top style="thin">
        <color indexed="11"/>
      </top>
      <bottom/>
      <diagonal/>
    </border>
    <border>
      <left/>
      <right style="thin">
        <color indexed="11"/>
      </right>
      <top/>
      <bottom/>
      <diagonal/>
    </border>
    <border>
      <left style="thin">
        <color indexed="8"/>
      </left>
      <right/>
      <top/>
      <bottom style="thin">
        <color indexed="11"/>
      </bottom>
      <diagonal/>
    </border>
    <border>
      <left style="thin">
        <color auto="1"/>
      </left>
      <right style="thin">
        <color auto="1"/>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applyNumberFormat="0" applyFill="0" applyBorder="0" applyProtection="0"/>
    <xf numFmtId="0" fontId="32" fillId="0" borderId="0">
      <alignment vertical="center"/>
    </xf>
    <xf numFmtId="0" fontId="6" fillId="0" borderId="0" applyNumberFormat="0" applyFill="0" applyBorder="0" applyProtection="0"/>
    <xf numFmtId="0" fontId="42" fillId="0" borderId="0">
      <alignment vertical="center"/>
    </xf>
  </cellStyleXfs>
  <cellXfs count="247">
    <xf numFmtId="0" fontId="0" fillId="0" borderId="0" xfId="0"/>
    <xf numFmtId="0" fontId="0" fillId="0" borderId="0" xfId="0" applyNumberFormat="1"/>
    <xf numFmtId="49" fontId="2" fillId="2" borderId="1" xfId="0" applyNumberFormat="1" applyFont="1" applyFill="1" applyBorder="1" applyAlignment="1">
      <alignment horizontal="center" wrapText="1"/>
    </xf>
    <xf numFmtId="49"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6" fontId="4" fillId="2" borderId="1" xfId="0" applyNumberFormat="1" applyFont="1" applyFill="1" applyBorder="1" applyAlignment="1">
      <alignment vertical="center" wrapText="1"/>
    </xf>
    <xf numFmtId="1" fontId="2" fillId="2" borderId="1" xfId="0" applyNumberFormat="1"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165" fontId="2" fillId="2" borderId="3" xfId="0" applyNumberFormat="1" applyFont="1" applyFill="1" applyBorder="1" applyAlignment="1">
      <alignment horizontal="center" vertical="center" wrapText="1"/>
    </xf>
    <xf numFmtId="1" fontId="2" fillId="2" borderId="3" xfId="0" applyNumberFormat="1" applyFont="1" applyFill="1" applyBorder="1" applyAlignment="1">
      <alignment horizontal="center" vertical="center" wrapText="1"/>
    </xf>
    <xf numFmtId="166" fontId="4" fillId="2" borderId="3" xfId="0" applyNumberFormat="1" applyFont="1" applyFill="1" applyBorder="1" applyAlignment="1">
      <alignment vertical="center" wrapText="1"/>
    </xf>
    <xf numFmtId="49" fontId="2" fillId="2" borderId="1" xfId="0" applyNumberFormat="1" applyFont="1" applyFill="1" applyBorder="1" applyAlignment="1">
      <alignment wrapText="1"/>
    </xf>
    <xf numFmtId="49" fontId="2" fillId="2" borderId="6" xfId="0" applyNumberFormat="1" applyFont="1" applyFill="1" applyBorder="1" applyAlignment="1">
      <alignment wrapText="1"/>
    </xf>
    <xf numFmtId="49" fontId="4" fillId="2" borderId="1" xfId="0" applyNumberFormat="1" applyFont="1" applyFill="1" applyBorder="1" applyAlignment="1">
      <alignment horizontal="left" vertical="center" wrapText="1"/>
    </xf>
    <xf numFmtId="1" fontId="4" fillId="2" borderId="1" xfId="0" applyNumberFormat="1"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1" fontId="2" fillId="2" borderId="1" xfId="0" applyNumberFormat="1" applyFont="1" applyFill="1" applyBorder="1" applyAlignment="1">
      <alignment vertical="center" wrapText="1"/>
    </xf>
    <xf numFmtId="1" fontId="2" fillId="2" borderId="3" xfId="0" applyNumberFormat="1" applyFont="1" applyFill="1" applyBorder="1" applyAlignment="1">
      <alignment vertical="center" wrapText="1"/>
    </xf>
    <xf numFmtId="1" fontId="2" fillId="2" borderId="7" xfId="0" applyNumberFormat="1" applyFont="1" applyFill="1" applyBorder="1" applyAlignment="1">
      <alignment vertical="center" wrapText="1"/>
    </xf>
    <xf numFmtId="1" fontId="2" fillId="2" borderId="5" xfId="0" applyNumberFormat="1" applyFont="1" applyFill="1" applyBorder="1" applyAlignment="1">
      <alignment vertical="center" wrapText="1"/>
    </xf>
    <xf numFmtId="1" fontId="2" fillId="2" borderId="8" xfId="0" applyNumberFormat="1" applyFont="1" applyFill="1" applyBorder="1" applyAlignment="1">
      <alignment vertical="center" wrapText="1"/>
    </xf>
    <xf numFmtId="0" fontId="6" fillId="0" borderId="0" xfId="0" applyNumberFormat="1" applyFont="1"/>
    <xf numFmtId="49" fontId="8" fillId="4" borderId="9" xfId="0" applyNumberFormat="1" applyFont="1" applyFill="1" applyBorder="1" applyAlignment="1">
      <alignment horizontal="center" vertical="center"/>
    </xf>
    <xf numFmtId="49" fontId="6" fillId="3" borderId="10" xfId="0" applyNumberFormat="1" applyFont="1" applyFill="1" applyBorder="1" applyAlignment="1">
      <alignment vertical="center" wrapText="1"/>
    </xf>
    <xf numFmtId="49" fontId="3" fillId="3" borderId="10" xfId="0" applyNumberFormat="1" applyFont="1" applyFill="1" applyBorder="1" applyAlignment="1">
      <alignment vertical="center" wrapText="1"/>
    </xf>
    <xf numFmtId="1" fontId="6" fillId="2" borderId="10" xfId="0" applyNumberFormat="1" applyFont="1" applyFill="1" applyBorder="1"/>
    <xf numFmtId="1" fontId="3" fillId="2" borderId="10" xfId="0" applyNumberFormat="1" applyFont="1" applyFill="1" applyBorder="1"/>
    <xf numFmtId="0" fontId="6" fillId="2" borderId="10" xfId="0" applyFont="1" applyFill="1" applyBorder="1" applyAlignment="1">
      <alignment vertical="center" wrapText="1"/>
    </xf>
    <xf numFmtId="0" fontId="6" fillId="3" borderId="10" xfId="0" applyFont="1" applyFill="1" applyBorder="1" applyAlignment="1">
      <alignment vertical="top"/>
    </xf>
    <xf numFmtId="0" fontId="6" fillId="2" borderId="10" xfId="0" applyFont="1" applyFill="1" applyBorder="1" applyAlignment="1">
      <alignment vertical="top"/>
    </xf>
    <xf numFmtId="0" fontId="9" fillId="0" borderId="0" xfId="0" applyFont="1" applyAlignment="1">
      <alignment vertical="center" wrapText="1"/>
    </xf>
    <xf numFmtId="0" fontId="10" fillId="3" borderId="10"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0" borderId="10" xfId="0" applyFont="1" applyBorder="1" applyAlignment="1">
      <alignment vertical="top" wrapText="1"/>
    </xf>
    <xf numFmtId="0" fontId="11" fillId="5" borderId="10" xfId="0" applyFont="1" applyFill="1" applyBorder="1" applyAlignment="1">
      <alignment vertical="center"/>
    </xf>
    <xf numFmtId="0" fontId="10" fillId="0" borderId="16" xfId="0" applyFont="1" applyBorder="1" applyAlignment="1">
      <alignment vertical="top" wrapText="1"/>
    </xf>
    <xf numFmtId="0" fontId="10" fillId="0" borderId="17" xfId="0" applyFont="1" applyBorder="1" applyAlignment="1">
      <alignment vertical="top" wrapText="1"/>
    </xf>
    <xf numFmtId="0" fontId="9" fillId="0" borderId="0" xfId="0" applyFont="1" applyAlignment="1">
      <alignment horizontal="center" vertical="center" wrapText="1"/>
    </xf>
    <xf numFmtId="0" fontId="6" fillId="0" borderId="0" xfId="0" applyFont="1" applyAlignment="1">
      <alignment vertical="center" wrapText="1"/>
    </xf>
    <xf numFmtId="0" fontId="10" fillId="3" borderId="0"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6" fillId="0" borderId="0" xfId="0" applyFont="1" applyBorder="1" applyAlignment="1">
      <alignment vertical="center"/>
    </xf>
    <xf numFmtId="0" fontId="9" fillId="0" borderId="0" xfId="0" applyFont="1" applyBorder="1" applyAlignment="1">
      <alignment horizontal="center" vertical="center" wrapText="1"/>
    </xf>
    <xf numFmtId="0" fontId="11" fillId="5" borderId="10" xfId="0" applyFont="1" applyFill="1" applyBorder="1" applyAlignment="1">
      <alignment horizontal="center" vertical="center"/>
    </xf>
    <xf numFmtId="0" fontId="6" fillId="0" borderId="10" xfId="0" applyFont="1" applyBorder="1" applyAlignment="1">
      <alignment vertical="center" wrapText="1"/>
    </xf>
    <xf numFmtId="0" fontId="6" fillId="0" borderId="10" xfId="0" applyFont="1" applyBorder="1" applyAlignment="1">
      <alignment vertical="center"/>
    </xf>
    <xf numFmtId="0" fontId="6" fillId="0" borderId="15" xfId="0" applyFont="1" applyBorder="1" applyAlignment="1">
      <alignment vertical="center"/>
    </xf>
    <xf numFmtId="0" fontId="9" fillId="0" borderId="15" xfId="0" applyFont="1" applyBorder="1" applyAlignment="1">
      <alignment horizontal="center" vertical="center" wrapText="1"/>
    </xf>
    <xf numFmtId="0" fontId="6" fillId="0" borderId="15" xfId="0" applyFont="1" applyBorder="1" applyAlignment="1">
      <alignment vertical="center" wrapText="1"/>
    </xf>
    <xf numFmtId="0" fontId="6" fillId="0" borderId="0" xfId="0" applyFont="1" applyAlignment="1">
      <alignment vertical="center"/>
    </xf>
    <xf numFmtId="0" fontId="9" fillId="0" borderId="0" xfId="0" applyFont="1" applyBorder="1" applyAlignment="1">
      <alignment vertical="center" wrapText="1"/>
    </xf>
    <xf numFmtId="0" fontId="10" fillId="5" borderId="10" xfId="0" applyFont="1" applyFill="1" applyBorder="1" applyAlignment="1">
      <alignment vertical="center" wrapText="1"/>
    </xf>
    <xf numFmtId="0" fontId="9" fillId="0" borderId="10" xfId="0" applyFont="1" applyBorder="1" applyAlignment="1">
      <alignment vertical="center" wrapText="1"/>
    </xf>
    <xf numFmtId="0" fontId="12" fillId="0" borderId="0" xfId="1" applyFont="1">
      <alignment vertical="center"/>
    </xf>
    <xf numFmtId="0" fontId="13" fillId="0" borderId="0" xfId="1" applyFont="1">
      <alignment vertical="center"/>
    </xf>
    <xf numFmtId="0" fontId="14" fillId="0" borderId="0" xfId="1" applyFont="1">
      <alignment vertical="center"/>
    </xf>
    <xf numFmtId="0" fontId="14" fillId="0" borderId="0" xfId="1" applyFont="1" applyAlignment="1">
      <alignment horizontal="center" vertical="center"/>
    </xf>
    <xf numFmtId="0" fontId="15" fillId="6" borderId="0" xfId="1" applyFont="1" applyFill="1" applyAlignment="1">
      <alignment horizontal="center" vertical="center" wrapText="1"/>
    </xf>
    <xf numFmtId="0" fontId="14" fillId="0" borderId="0" xfId="1" applyFont="1" applyAlignment="1">
      <alignment horizontal="left" vertical="top" wrapText="1"/>
    </xf>
    <xf numFmtId="0" fontId="16" fillId="6" borderId="10" xfId="1" applyFont="1" applyFill="1" applyBorder="1" applyAlignment="1">
      <alignment horizontal="center" vertical="center"/>
    </xf>
    <xf numFmtId="0" fontId="12" fillId="0" borderId="10" xfId="1" applyFont="1" applyBorder="1" applyAlignment="1">
      <alignment vertical="center" wrapText="1"/>
    </xf>
    <xf numFmtId="0" fontId="14" fillId="0" borderId="0" xfId="1" applyFont="1" applyAlignment="1">
      <alignment vertical="center" wrapText="1"/>
    </xf>
    <xf numFmtId="0" fontId="16" fillId="6" borderId="10" xfId="1" applyFont="1" applyFill="1" applyBorder="1" applyAlignment="1">
      <alignment horizontal="center" vertical="center" wrapText="1"/>
    </xf>
    <xf numFmtId="0" fontId="14" fillId="0" borderId="10" xfId="1" applyFont="1" applyBorder="1">
      <alignment vertical="center"/>
    </xf>
    <xf numFmtId="0" fontId="14" fillId="0" borderId="10" xfId="1" applyFont="1" applyBorder="1" applyAlignment="1">
      <alignment horizontal="center" vertical="center"/>
    </xf>
    <xf numFmtId="0" fontId="17" fillId="7" borderId="10" xfId="1" applyFont="1" applyFill="1" applyBorder="1" applyAlignment="1">
      <alignment horizontal="center" vertical="center" wrapText="1"/>
    </xf>
    <xf numFmtId="0" fontId="17" fillId="7" borderId="10" xfId="1" applyFont="1" applyFill="1" applyBorder="1" applyAlignment="1">
      <alignment vertical="top" wrapText="1"/>
    </xf>
    <xf numFmtId="0" fontId="17" fillId="7" borderId="10" xfId="1" applyFont="1" applyFill="1" applyBorder="1" applyAlignment="1">
      <alignment horizontal="center" vertical="top" wrapText="1"/>
    </xf>
    <xf numFmtId="0" fontId="18" fillId="0" borderId="10" xfId="1" applyFont="1" applyBorder="1" applyAlignment="1">
      <alignment vertical="center" wrapText="1"/>
    </xf>
    <xf numFmtId="0" fontId="13" fillId="0" borderId="10" xfId="1" applyFont="1" applyBorder="1">
      <alignment vertical="center"/>
    </xf>
    <xf numFmtId="0" fontId="13" fillId="0" borderId="10" xfId="1" applyFont="1" applyBorder="1" applyAlignment="1">
      <alignment horizontal="center" vertical="center"/>
    </xf>
    <xf numFmtId="0" fontId="14" fillId="0" borderId="10" xfId="1" applyFont="1" applyBorder="1" applyAlignment="1">
      <alignment vertical="center" wrapText="1"/>
    </xf>
    <xf numFmtId="0" fontId="19" fillId="0" borderId="10" xfId="1" applyFont="1" applyBorder="1" applyAlignment="1">
      <alignment vertical="center" wrapText="1"/>
    </xf>
    <xf numFmtId="0" fontId="20" fillId="0" borderId="0" xfId="2" applyFont="1" applyFill="1" applyAlignment="1" applyProtection="1">
      <alignment vertical="center"/>
      <protection locked="0"/>
    </xf>
    <xf numFmtId="0" fontId="6" fillId="0" borderId="0" xfId="2" applyAlignment="1">
      <alignment vertical="center" wrapText="1"/>
    </xf>
    <xf numFmtId="0" fontId="6" fillId="0" borderId="0" xfId="2" applyFill="1" applyAlignment="1">
      <alignment vertical="center" wrapText="1"/>
    </xf>
    <xf numFmtId="0" fontId="6" fillId="0" borderId="0" xfId="2" applyAlignment="1">
      <alignment vertical="center"/>
    </xf>
    <xf numFmtId="0" fontId="20" fillId="0" borderId="0" xfId="2" applyFont="1" applyFill="1" applyAlignment="1" applyProtection="1">
      <alignment vertical="center" wrapText="1"/>
      <protection locked="0"/>
    </xf>
    <xf numFmtId="0" fontId="20" fillId="8" borderId="0" xfId="2" applyFont="1" applyFill="1" applyAlignment="1" applyProtection="1">
      <alignment vertical="center"/>
      <protection locked="0"/>
    </xf>
    <xf numFmtId="0" fontId="20" fillId="9" borderId="0" xfId="2" applyFont="1" applyFill="1" applyAlignment="1" applyProtection="1">
      <alignment vertical="center"/>
      <protection locked="0"/>
    </xf>
    <xf numFmtId="0" fontId="0" fillId="0" borderId="0" xfId="0" applyNumberFormat="1" applyBorder="1"/>
    <xf numFmtId="0" fontId="0" fillId="0" borderId="0" xfId="0" applyNumberFormat="1" applyFill="1" applyBorder="1"/>
    <xf numFmtId="0" fontId="6" fillId="0" borderId="0" xfId="2" applyNumberFormat="1" applyAlignment="1">
      <alignment vertical="center"/>
    </xf>
    <xf numFmtId="0" fontId="6" fillId="0" borderId="0" xfId="2" applyNumberFormat="1"/>
    <xf numFmtId="1" fontId="4" fillId="2" borderId="0" xfId="0" applyNumberFormat="1" applyFont="1" applyFill="1" applyBorder="1" applyAlignment="1">
      <alignment vertical="center" wrapText="1"/>
    </xf>
    <xf numFmtId="1" fontId="0" fillId="2" borderId="0" xfId="0" applyNumberFormat="1" applyFill="1" applyBorder="1" applyAlignment="1">
      <alignment vertical="center" wrapText="1"/>
    </xf>
    <xf numFmtId="49" fontId="22" fillId="4" borderId="0" xfId="0" applyNumberFormat="1" applyFont="1" applyFill="1" applyBorder="1" applyAlignment="1">
      <alignment horizontal="left" vertical="center"/>
    </xf>
    <xf numFmtId="1" fontId="22" fillId="4" borderId="0" xfId="0" applyNumberFormat="1" applyFont="1" applyFill="1" applyBorder="1" applyAlignment="1">
      <alignment horizontal="left" vertical="center"/>
    </xf>
    <xf numFmtId="1" fontId="23" fillId="2" borderId="0" xfId="0" applyNumberFormat="1" applyFont="1" applyFill="1" applyBorder="1" applyAlignment="1">
      <alignment vertical="center"/>
    </xf>
    <xf numFmtId="49" fontId="23" fillId="2" borderId="10" xfId="0" applyNumberFormat="1" applyFont="1" applyFill="1" applyBorder="1" applyAlignment="1">
      <alignment vertical="center"/>
    </xf>
    <xf numFmtId="49" fontId="6" fillId="2" borderId="0" xfId="2" applyNumberFormat="1" applyFill="1" applyBorder="1" applyAlignment="1">
      <alignment vertical="center"/>
    </xf>
    <xf numFmtId="0" fontId="6" fillId="2" borderId="0" xfId="2" applyFill="1" applyBorder="1" applyAlignment="1">
      <alignment vertical="center"/>
    </xf>
    <xf numFmtId="0" fontId="6" fillId="11" borderId="0" xfId="2" applyFill="1" applyBorder="1"/>
    <xf numFmtId="0" fontId="6" fillId="2" borderId="0" xfId="2" applyFill="1" applyBorder="1"/>
    <xf numFmtId="49" fontId="6" fillId="2" borderId="0" xfId="2" applyNumberFormat="1" applyFill="1" applyBorder="1"/>
    <xf numFmtId="0" fontId="3" fillId="2" borderId="0" xfId="2" applyFont="1" applyFill="1" applyBorder="1"/>
    <xf numFmtId="1" fontId="22" fillId="4" borderId="0" xfId="0" applyNumberFormat="1" applyFont="1" applyFill="1" applyBorder="1" applyAlignment="1">
      <alignment vertical="center"/>
    </xf>
    <xf numFmtId="1" fontId="24" fillId="0" borderId="0" xfId="0" applyNumberFormat="1" applyFont="1" applyFill="1" applyBorder="1" applyAlignment="1">
      <alignment horizontal="center" vertical="center"/>
    </xf>
    <xf numFmtId="1" fontId="24" fillId="0" borderId="0" xfId="0" applyNumberFormat="1" applyFont="1" applyFill="1" applyBorder="1" applyAlignment="1">
      <alignment horizontal="left" vertical="center"/>
    </xf>
    <xf numFmtId="49" fontId="23" fillId="2" borderId="22" xfId="0" applyNumberFormat="1" applyFont="1" applyFill="1" applyBorder="1"/>
    <xf numFmtId="1" fontId="0" fillId="2" borderId="23" xfId="0" applyNumberFormat="1" applyFill="1" applyBorder="1"/>
    <xf numFmtId="1" fontId="4" fillId="2" borderId="23" xfId="0" applyNumberFormat="1" applyFont="1" applyFill="1" applyBorder="1"/>
    <xf numFmtId="1" fontId="4" fillId="2" borderId="24" xfId="0" applyNumberFormat="1" applyFont="1" applyFill="1" applyBorder="1"/>
    <xf numFmtId="1" fontId="4" fillId="2" borderId="25" xfId="0" applyNumberFormat="1" applyFont="1" applyFill="1" applyBorder="1"/>
    <xf numFmtId="1" fontId="0" fillId="2" borderId="22" xfId="0" applyNumberFormat="1" applyFill="1" applyBorder="1"/>
    <xf numFmtId="1" fontId="4" fillId="2" borderId="22" xfId="0" applyNumberFormat="1" applyFont="1" applyFill="1" applyBorder="1"/>
    <xf numFmtId="49" fontId="23" fillId="2" borderId="25" xfId="0" applyNumberFormat="1" applyFont="1" applyFill="1" applyBorder="1"/>
    <xf numFmtId="1" fontId="0" fillId="2" borderId="26" xfId="0" applyNumberFormat="1" applyFill="1" applyBorder="1"/>
    <xf numFmtId="1" fontId="4" fillId="2" borderId="26" xfId="0" applyNumberFormat="1" applyFont="1" applyFill="1" applyBorder="1"/>
    <xf numFmtId="49" fontId="3" fillId="12" borderId="1" xfId="0" applyNumberFormat="1" applyFont="1" applyFill="1" applyBorder="1" applyAlignment="1">
      <alignment horizontal="center" vertical="center" wrapText="1"/>
    </xf>
    <xf numFmtId="49" fontId="3" fillId="2" borderId="1" xfId="0" applyNumberFormat="1" applyFont="1" applyFill="1" applyBorder="1" applyAlignment="1">
      <alignment horizontal="justify" vertical="center" wrapText="1"/>
    </xf>
    <xf numFmtId="49" fontId="25" fillId="2" borderId="1" xfId="0" applyNumberFormat="1" applyFont="1" applyFill="1" applyBorder="1" applyAlignment="1">
      <alignment horizontal="center" vertical="center" wrapText="1"/>
    </xf>
    <xf numFmtId="1" fontId="3" fillId="2" borderId="22" xfId="0" applyNumberFormat="1" applyFont="1" applyFill="1" applyBorder="1" applyAlignment="1">
      <alignment horizontal="justify" vertical="center" wrapText="1"/>
    </xf>
    <xf numFmtId="1" fontId="0" fillId="2" borderId="25" xfId="0" applyNumberFormat="1" applyFill="1" applyBorder="1"/>
    <xf numFmtId="49" fontId="3" fillId="2" borderId="27" xfId="0" applyNumberFormat="1" applyFont="1" applyFill="1" applyBorder="1" applyAlignment="1">
      <alignment horizontal="center" vertical="center" wrapText="1"/>
    </xf>
    <xf numFmtId="49" fontId="3" fillId="2" borderId="27" xfId="0" applyNumberFormat="1" applyFont="1" applyFill="1" applyBorder="1" applyAlignment="1">
      <alignment horizontal="justify" vertical="center" wrapText="1"/>
    </xf>
    <xf numFmtId="0" fontId="0" fillId="2" borderId="24" xfId="0" applyFill="1" applyBorder="1" applyAlignment="1">
      <alignment vertical="center"/>
    </xf>
    <xf numFmtId="1" fontId="3" fillId="2" borderId="28" xfId="0" applyNumberFormat="1" applyFont="1" applyFill="1" applyBorder="1" applyAlignment="1">
      <alignment horizontal="center" vertical="center" wrapText="1"/>
    </xf>
    <xf numFmtId="49" fontId="3" fillId="2" borderId="29" xfId="0" applyNumberFormat="1" applyFont="1" applyFill="1" applyBorder="1" applyAlignment="1">
      <alignment horizontal="center" vertical="center" wrapText="1"/>
    </xf>
    <xf numFmtId="49" fontId="3" fillId="2" borderId="29" xfId="0" applyNumberFormat="1" applyFont="1" applyFill="1" applyBorder="1" applyAlignment="1">
      <alignment horizontal="left" vertical="center" wrapText="1"/>
    </xf>
    <xf numFmtId="49" fontId="4" fillId="2" borderId="1" xfId="0" applyNumberFormat="1" applyFont="1" applyFill="1" applyBorder="1" applyAlignment="1">
      <alignment horizontal="center" vertical="center" wrapText="1"/>
    </xf>
    <xf numFmtId="49" fontId="0" fillId="2" borderId="1" xfId="0" applyNumberFormat="1" applyFill="1" applyBorder="1" applyAlignment="1">
      <alignment vertical="center" wrapText="1"/>
    </xf>
    <xf numFmtId="1" fontId="4" fillId="2" borderId="30" xfId="0" applyNumberFormat="1" applyFont="1" applyFill="1" applyBorder="1"/>
    <xf numFmtId="0" fontId="0" fillId="2" borderId="31" xfId="0" applyFill="1" applyBorder="1" applyAlignment="1">
      <alignment vertical="top" wrapText="1"/>
    </xf>
    <xf numFmtId="0" fontId="0" fillId="2" borderId="30" xfId="0" applyFill="1" applyBorder="1" applyAlignment="1">
      <alignment vertical="top" wrapText="1"/>
    </xf>
    <xf numFmtId="0" fontId="0" fillId="13" borderId="0" xfId="0" applyNumberFormat="1" applyFill="1"/>
    <xf numFmtId="1" fontId="0" fillId="2" borderId="32" xfId="0" applyNumberFormat="1" applyFill="1" applyBorder="1"/>
    <xf numFmtId="1" fontId="0" fillId="2" borderId="33" xfId="0" applyNumberFormat="1" applyFill="1" applyBorder="1"/>
    <xf numFmtId="1" fontId="0" fillId="2" borderId="34" xfId="0" applyNumberFormat="1" applyFill="1" applyBorder="1"/>
    <xf numFmtId="1" fontId="0" fillId="2" borderId="0" xfId="0" applyNumberFormat="1" applyFill="1" applyBorder="1"/>
    <xf numFmtId="1" fontId="29" fillId="2" borderId="34" xfId="0" applyNumberFormat="1" applyFont="1" applyFill="1" applyBorder="1" applyAlignment="1">
      <alignment horizontal="center" wrapText="1"/>
    </xf>
    <xf numFmtId="49" fontId="30" fillId="2" borderId="0" xfId="0" applyNumberFormat="1" applyFont="1" applyFill="1" applyBorder="1" applyAlignment="1">
      <alignment horizontal="right" wrapText="1"/>
    </xf>
    <xf numFmtId="1" fontId="31" fillId="2" borderId="0" xfId="0" applyNumberFormat="1" applyFont="1" applyFill="1" applyBorder="1" applyAlignment="1">
      <alignment horizontal="center" wrapText="1"/>
    </xf>
    <xf numFmtId="1" fontId="0" fillId="2" borderId="34" xfId="0" applyNumberFormat="1" applyFill="1" applyBorder="1" applyAlignment="1">
      <alignment horizontal="left" wrapText="1"/>
    </xf>
    <xf numFmtId="1" fontId="30" fillId="2" borderId="0" xfId="0" applyNumberFormat="1" applyFont="1" applyFill="1" applyBorder="1" applyAlignment="1">
      <alignment horizontal="right" wrapText="1"/>
    </xf>
    <xf numFmtId="1" fontId="6" fillId="2" borderId="0" xfId="0" applyNumberFormat="1" applyFont="1" applyFill="1" applyBorder="1" applyAlignment="1">
      <alignment horizontal="left" vertical="center"/>
    </xf>
    <xf numFmtId="1" fontId="30" fillId="2" borderId="0" xfId="0" applyNumberFormat="1" applyFont="1" applyFill="1" applyBorder="1" applyAlignment="1">
      <alignment horizontal="left" wrapText="1"/>
    </xf>
    <xf numFmtId="1" fontId="30" fillId="2" borderId="0" xfId="0" applyNumberFormat="1" applyFont="1" applyFill="1" applyBorder="1" applyAlignment="1">
      <alignment horizontal="left" vertical="center"/>
    </xf>
    <xf numFmtId="1" fontId="0" fillId="2" borderId="34" xfId="0" applyNumberFormat="1" applyFill="1" applyBorder="1" applyAlignment="1">
      <alignment horizontal="center" wrapText="1"/>
    </xf>
    <xf numFmtId="1" fontId="30" fillId="2" borderId="0" xfId="0" applyNumberFormat="1" applyFont="1" applyFill="1" applyBorder="1" applyAlignment="1">
      <alignment vertical="center"/>
    </xf>
    <xf numFmtId="1" fontId="0" fillId="2" borderId="34" xfId="0" applyNumberFormat="1" applyFill="1" applyBorder="1" applyAlignment="1">
      <alignment vertical="center"/>
    </xf>
    <xf numFmtId="1" fontId="30" fillId="2" borderId="0" xfId="0" applyNumberFormat="1" applyFont="1" applyFill="1" applyBorder="1" applyAlignment="1">
      <alignment wrapText="1"/>
    </xf>
    <xf numFmtId="1" fontId="28" fillId="2" borderId="0" xfId="0" applyNumberFormat="1" applyFont="1" applyFill="1" applyBorder="1" applyAlignment="1">
      <alignment horizontal="left" vertical="center"/>
    </xf>
    <xf numFmtId="1" fontId="2" fillId="2" borderId="34" xfId="0" applyNumberFormat="1" applyFont="1" applyFill="1" applyBorder="1" applyAlignment="1">
      <alignment horizontal="left" vertical="center"/>
    </xf>
    <xf numFmtId="1" fontId="30" fillId="2" borderId="0" xfId="0" applyNumberFormat="1" applyFont="1" applyFill="1" applyBorder="1" applyAlignment="1">
      <alignment vertical="top" wrapText="1"/>
    </xf>
    <xf numFmtId="1" fontId="30" fillId="2" borderId="0" xfId="0" applyNumberFormat="1" applyFont="1" applyFill="1" applyBorder="1" applyAlignment="1">
      <alignment horizontal="center" vertical="center"/>
    </xf>
    <xf numFmtId="1" fontId="3" fillId="2" borderId="0" xfId="0" applyNumberFormat="1" applyFont="1" applyFill="1" applyBorder="1" applyAlignment="1">
      <alignment horizontal="center" vertical="center"/>
    </xf>
    <xf numFmtId="1" fontId="1" fillId="2" borderId="0" xfId="0" applyNumberFormat="1" applyFont="1" applyFill="1" applyBorder="1"/>
    <xf numFmtId="1" fontId="0" fillId="2" borderId="34" xfId="0" applyNumberFormat="1" applyFill="1" applyBorder="1" applyAlignment="1">
      <alignment vertical="top" wrapText="1"/>
    </xf>
    <xf numFmtId="1" fontId="0" fillId="2" borderId="4" xfId="0" applyNumberFormat="1" applyFill="1" applyBorder="1" applyAlignment="1">
      <alignment vertical="top" wrapText="1"/>
    </xf>
    <xf numFmtId="1" fontId="1" fillId="2" borderId="5" xfId="0" applyNumberFormat="1" applyFont="1" applyFill="1" applyBorder="1"/>
    <xf numFmtId="1" fontId="29" fillId="2" borderId="0" xfId="0" applyNumberFormat="1" applyFont="1" applyFill="1" applyBorder="1" applyAlignment="1">
      <alignment horizontal="center" wrapText="1"/>
    </xf>
    <xf numFmtId="1" fontId="29" fillId="2" borderId="36" xfId="0" applyNumberFormat="1" applyFont="1" applyFill="1" applyBorder="1" applyAlignment="1">
      <alignment horizontal="center" wrapText="1"/>
    </xf>
    <xf numFmtId="1" fontId="23" fillId="2" borderId="0" xfId="0" applyNumberFormat="1" applyFont="1" applyFill="1" applyBorder="1" applyAlignment="1">
      <alignment horizontal="left"/>
    </xf>
    <xf numFmtId="1" fontId="0" fillId="2" borderId="0" xfId="0" applyNumberFormat="1" applyFill="1" applyBorder="1" applyAlignment="1">
      <alignment horizontal="left" wrapText="1"/>
    </xf>
    <xf numFmtId="1" fontId="0" fillId="2" borderId="36" xfId="0" applyNumberFormat="1" applyFill="1" applyBorder="1" applyAlignment="1">
      <alignment horizontal="left" wrapText="1"/>
    </xf>
    <xf numFmtId="49" fontId="30" fillId="2" borderId="0" xfId="0" applyNumberFormat="1" applyFont="1" applyFill="1" applyBorder="1" applyAlignment="1">
      <alignment horizontal="left" vertical="center"/>
    </xf>
    <xf numFmtId="1" fontId="0" fillId="2" borderId="0" xfId="0" applyNumberFormat="1" applyFill="1" applyBorder="1" applyAlignment="1">
      <alignment horizontal="center" wrapText="1"/>
    </xf>
    <xf numFmtId="1" fontId="0" fillId="2" borderId="36" xfId="0" applyNumberFormat="1" applyFill="1" applyBorder="1" applyAlignment="1">
      <alignment horizontal="center" wrapText="1"/>
    </xf>
    <xf numFmtId="1" fontId="0" fillId="2" borderId="0" xfId="0" applyNumberFormat="1" applyFill="1" applyBorder="1" applyAlignment="1">
      <alignment vertical="center"/>
    </xf>
    <xf numFmtId="1" fontId="0" fillId="2" borderId="36" xfId="0" applyNumberFormat="1" applyFill="1" applyBorder="1" applyAlignment="1">
      <alignment vertical="center"/>
    </xf>
    <xf numFmtId="1" fontId="2" fillId="2" borderId="0" xfId="0" applyNumberFormat="1" applyFont="1" applyFill="1" applyBorder="1" applyAlignment="1">
      <alignment horizontal="left" vertical="center"/>
    </xf>
    <xf numFmtId="1" fontId="2" fillId="2" borderId="36" xfId="0" applyNumberFormat="1" applyFont="1" applyFill="1" applyBorder="1" applyAlignment="1">
      <alignment horizontal="left" vertical="center"/>
    </xf>
    <xf numFmtId="1" fontId="30" fillId="2" borderId="0" xfId="0" applyNumberFormat="1" applyFont="1" applyFill="1" applyBorder="1" applyAlignment="1">
      <alignment horizontal="left"/>
    </xf>
    <xf numFmtId="1" fontId="0" fillId="2" borderId="0" xfId="0" applyNumberFormat="1" applyFill="1" applyBorder="1" applyAlignment="1">
      <alignment wrapText="1"/>
    </xf>
    <xf numFmtId="1" fontId="0" fillId="2" borderId="36" xfId="0" applyNumberFormat="1" applyFill="1" applyBorder="1" applyAlignment="1">
      <alignment wrapText="1"/>
    </xf>
    <xf numFmtId="1" fontId="0" fillId="2" borderId="5" xfId="0" applyNumberFormat="1" applyFill="1" applyBorder="1" applyAlignment="1">
      <alignment vertical="center"/>
    </xf>
    <xf numFmtId="1" fontId="0" fillId="2" borderId="8" xfId="0" applyNumberFormat="1" applyFill="1" applyBorder="1" applyAlignment="1">
      <alignment vertical="center"/>
    </xf>
    <xf numFmtId="0" fontId="6" fillId="14" borderId="0" xfId="2" applyFill="1" applyAlignment="1">
      <alignment vertical="center"/>
    </xf>
    <xf numFmtId="0" fontId="6" fillId="0" borderId="39" xfId="2" applyBorder="1" applyAlignment="1">
      <alignment vertical="center"/>
    </xf>
    <xf numFmtId="0" fontId="6" fillId="0" borderId="40" xfId="2" applyBorder="1" applyAlignment="1">
      <alignment vertical="center"/>
    </xf>
    <xf numFmtId="1" fontId="2" fillId="2" borderId="0" xfId="0" applyNumberFormat="1" applyFont="1" applyFill="1" applyBorder="1" applyAlignment="1">
      <alignment horizontal="center" vertical="center"/>
    </xf>
    <xf numFmtId="1" fontId="2" fillId="2" borderId="36" xfId="0" applyNumberFormat="1" applyFont="1" applyFill="1" applyBorder="1" applyAlignment="1">
      <alignment horizontal="center" vertical="center"/>
    </xf>
    <xf numFmtId="1" fontId="2" fillId="2" borderId="0" xfId="0" applyNumberFormat="1" applyFont="1" applyFill="1" applyBorder="1" applyAlignment="1">
      <alignment horizontal="left" vertical="center"/>
    </xf>
    <xf numFmtId="1" fontId="2" fillId="2" borderId="36" xfId="0" applyNumberFormat="1" applyFont="1" applyFill="1" applyBorder="1" applyAlignment="1">
      <alignment horizontal="left" vertical="center"/>
    </xf>
    <xf numFmtId="1" fontId="0" fillId="2" borderId="0" xfId="0" applyNumberFormat="1" applyFill="1" applyBorder="1" applyAlignment="1">
      <alignment vertical="center"/>
    </xf>
    <xf numFmtId="1" fontId="0" fillId="2" borderId="36" xfId="0" applyNumberFormat="1" applyFill="1" applyBorder="1" applyAlignment="1">
      <alignment vertical="center"/>
    </xf>
    <xf numFmtId="1" fontId="30" fillId="2" borderId="33" xfId="0" applyNumberFormat="1" applyFont="1" applyFill="1" applyBorder="1" applyAlignment="1">
      <alignment horizontal="left" vertical="center" wrapText="1"/>
    </xf>
    <xf numFmtId="1" fontId="30" fillId="2" borderId="35" xfId="0" applyNumberFormat="1" applyFont="1" applyFill="1" applyBorder="1" applyAlignment="1">
      <alignment horizontal="left" vertical="center" wrapText="1"/>
    </xf>
    <xf numFmtId="49" fontId="30" fillId="2" borderId="0" xfId="0" applyNumberFormat="1" applyFont="1" applyFill="1" applyBorder="1" applyAlignment="1">
      <alignment horizontal="left" vertical="center" wrapText="1"/>
    </xf>
    <xf numFmtId="1" fontId="30" fillId="2" borderId="0" xfId="0" applyNumberFormat="1" applyFont="1" applyFill="1" applyBorder="1" applyAlignment="1">
      <alignment horizontal="left" vertical="center" wrapText="1"/>
    </xf>
    <xf numFmtId="1" fontId="30" fillId="2" borderId="36" xfId="0" applyNumberFormat="1" applyFont="1" applyFill="1" applyBorder="1" applyAlignment="1">
      <alignment horizontal="left" vertical="center" wrapText="1"/>
    </xf>
    <xf numFmtId="49" fontId="26" fillId="2" borderId="34" xfId="0" applyNumberFormat="1" applyFont="1" applyFill="1" applyBorder="1" applyAlignment="1">
      <alignment horizontal="center" vertical="center" wrapText="1"/>
    </xf>
    <xf numFmtId="1" fontId="26" fillId="2" borderId="0" xfId="0" applyNumberFormat="1" applyFont="1" applyFill="1" applyBorder="1" applyAlignment="1">
      <alignment horizontal="center" vertical="center" wrapText="1"/>
    </xf>
    <xf numFmtId="1" fontId="26" fillId="2" borderId="36" xfId="0" applyNumberFormat="1" applyFont="1" applyFill="1" applyBorder="1" applyAlignment="1">
      <alignment horizontal="center" vertical="center" wrapText="1"/>
    </xf>
    <xf numFmtId="1" fontId="27" fillId="2" borderId="34" xfId="0" applyNumberFormat="1" applyFont="1" applyFill="1" applyBorder="1" applyAlignment="1">
      <alignment horizontal="center" vertical="center" wrapText="1"/>
    </xf>
    <xf numFmtId="1" fontId="27" fillId="2" borderId="0" xfId="0" applyNumberFormat="1" applyFont="1" applyFill="1" applyBorder="1" applyAlignment="1">
      <alignment horizontal="center" vertical="center" wrapText="1"/>
    </xf>
    <xf numFmtId="1" fontId="27" fillId="2" borderId="36" xfId="0" applyNumberFormat="1" applyFont="1" applyFill="1" applyBorder="1" applyAlignment="1">
      <alignment horizontal="center" vertical="center" wrapText="1"/>
    </xf>
    <xf numFmtId="1" fontId="28" fillId="2" borderId="34" xfId="0" applyNumberFormat="1" applyFont="1" applyFill="1" applyBorder="1" applyAlignment="1">
      <alignment horizontal="left" vertical="center" wrapText="1"/>
    </xf>
    <xf numFmtId="1" fontId="28" fillId="2" borderId="0" xfId="0" applyNumberFormat="1" applyFont="1" applyFill="1" applyBorder="1" applyAlignment="1">
      <alignment horizontal="left" vertical="center" wrapText="1"/>
    </xf>
    <xf numFmtId="1" fontId="28" fillId="2" borderId="36" xfId="0" applyNumberFormat="1" applyFont="1" applyFill="1" applyBorder="1" applyAlignment="1">
      <alignment horizontal="left" vertical="center" wrapText="1"/>
    </xf>
    <xf numFmtId="49" fontId="5" fillId="2" borderId="4" xfId="0" applyNumberFormat="1" applyFont="1" applyFill="1" applyBorder="1" applyAlignment="1">
      <alignment horizontal="left" vertical="center" wrapText="1"/>
    </xf>
    <xf numFmtId="1" fontId="5" fillId="2" borderId="5" xfId="0" applyNumberFormat="1" applyFont="1" applyFill="1" applyBorder="1" applyAlignment="1">
      <alignment horizontal="left" vertical="center" wrapText="1"/>
    </xf>
    <xf numFmtId="49" fontId="1" fillId="2"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49" fontId="0" fillId="10" borderId="1" xfId="0" applyNumberFormat="1" applyFill="1" applyBorder="1" applyAlignment="1">
      <alignment vertical="center"/>
    </xf>
    <xf numFmtId="1" fontId="4" fillId="10" borderId="1" xfId="0" applyNumberFormat="1" applyFont="1" applyFill="1" applyBorder="1" applyAlignment="1">
      <alignment horizontal="center" vertical="center"/>
    </xf>
    <xf numFmtId="1" fontId="0" fillId="10" borderId="6" xfId="0" applyNumberFormat="1" applyFill="1" applyBorder="1" applyAlignment="1">
      <alignment vertical="center"/>
    </xf>
    <xf numFmtId="49" fontId="4" fillId="2" borderId="1" xfId="0" applyNumberFormat="1" applyFont="1" applyFill="1" applyBorder="1" applyAlignment="1">
      <alignment horizontal="left" vertical="top" wrapText="1"/>
    </xf>
    <xf numFmtId="1" fontId="0" fillId="2" borderId="1" xfId="0" applyNumberFormat="1" applyFill="1" applyBorder="1" applyAlignment="1">
      <alignment vertical="top" wrapText="1"/>
    </xf>
    <xf numFmtId="1" fontId="4" fillId="2" borderId="1" xfId="0" applyNumberFormat="1" applyFont="1" applyFill="1" applyBorder="1" applyAlignment="1">
      <alignment horizontal="left" vertical="top" wrapText="1"/>
    </xf>
    <xf numFmtId="49" fontId="21" fillId="10" borderId="21" xfId="2" applyNumberFormat="1" applyFont="1" applyFill="1" applyBorder="1" applyAlignment="1">
      <alignment horizontal="center" vertical="center"/>
    </xf>
    <xf numFmtId="0" fontId="21" fillId="10" borderId="3" xfId="2" applyFont="1" applyFill="1" applyBorder="1" applyAlignment="1">
      <alignment horizontal="center" vertical="center"/>
    </xf>
    <xf numFmtId="0" fontId="21" fillId="10" borderId="7" xfId="2" applyFont="1" applyFill="1" applyBorder="1" applyAlignment="1">
      <alignment horizontal="center" vertical="center"/>
    </xf>
    <xf numFmtId="49" fontId="0" fillId="2" borderId="15" xfId="0" applyNumberFormat="1" applyFill="1" applyBorder="1" applyAlignment="1">
      <alignment horizontal="left" vertical="center"/>
    </xf>
    <xf numFmtId="49" fontId="0" fillId="2" borderId="14" xfId="0" applyNumberFormat="1" applyFill="1" applyBorder="1" applyAlignment="1">
      <alignment horizontal="left" vertical="center"/>
    </xf>
    <xf numFmtId="49" fontId="0" fillId="2" borderId="19" xfId="0" applyNumberFormat="1" applyFill="1" applyBorder="1" applyAlignment="1">
      <alignment horizontal="left" vertical="center"/>
    </xf>
    <xf numFmtId="49" fontId="21" fillId="10" borderId="0" xfId="2" applyNumberFormat="1" applyFont="1" applyFill="1" applyBorder="1" applyAlignment="1">
      <alignment horizontal="center" vertical="center"/>
    </xf>
    <xf numFmtId="0" fontId="21" fillId="10" borderId="0" xfId="2" applyFont="1" applyFill="1" applyBorder="1" applyAlignment="1">
      <alignment horizontal="center" vertical="center"/>
    </xf>
    <xf numFmtId="0" fontId="15" fillId="6" borderId="10" xfId="1" applyFont="1" applyFill="1" applyBorder="1" applyAlignment="1">
      <alignment horizontal="center" vertical="center" wrapText="1"/>
    </xf>
    <xf numFmtId="0" fontId="14" fillId="0" borderId="16" xfId="1" applyFont="1" applyBorder="1" applyAlignment="1">
      <alignment horizontal="left" vertical="top" wrapText="1"/>
    </xf>
    <xf numFmtId="49" fontId="6" fillId="4" borderId="11" xfId="0" applyNumberFormat="1" applyFont="1" applyFill="1" applyBorder="1" applyAlignment="1">
      <alignment horizontal="center" vertical="center"/>
    </xf>
    <xf numFmtId="49" fontId="6" fillId="4" borderId="12" xfId="0" applyNumberFormat="1" applyFont="1" applyFill="1" applyBorder="1" applyAlignment="1">
      <alignment horizontal="center" vertical="center"/>
    </xf>
    <xf numFmtId="1" fontId="3" fillId="4" borderId="13" xfId="0" applyNumberFormat="1" applyFont="1" applyFill="1" applyBorder="1" applyAlignment="1">
      <alignment horizontal="center" vertical="center"/>
    </xf>
    <xf numFmtId="1" fontId="6" fillId="4" borderId="13" xfId="0" applyNumberFormat="1" applyFont="1" applyFill="1" applyBorder="1" applyAlignment="1">
      <alignment horizontal="center" vertical="center"/>
    </xf>
    <xf numFmtId="1" fontId="3" fillId="4" borderId="20" xfId="0" applyNumberFormat="1" applyFont="1" applyFill="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6" xfId="0" applyFont="1" applyBorder="1" applyAlignment="1">
      <alignment horizontal="left" vertical="center" wrapText="1"/>
    </xf>
    <xf numFmtId="0" fontId="6" fillId="0" borderId="17" xfId="0" applyFont="1" applyBorder="1" applyAlignment="1">
      <alignment horizontal="left" vertical="center" wrapText="1"/>
    </xf>
    <xf numFmtId="0" fontId="6" fillId="0" borderId="18" xfId="0" applyFont="1" applyBorder="1" applyAlignment="1">
      <alignment horizontal="left"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38" xfId="0" applyFont="1" applyBorder="1" applyAlignment="1">
      <alignment horizontal="left" vertical="center" wrapText="1"/>
    </xf>
    <xf numFmtId="49" fontId="7" fillId="3" borderId="37" xfId="0" applyNumberFormat="1" applyFont="1" applyFill="1" applyBorder="1" applyAlignment="1">
      <alignment horizontal="center" vertical="center"/>
    </xf>
    <xf numFmtId="49" fontId="7" fillId="3" borderId="5" xfId="0" applyNumberFormat="1" applyFont="1" applyFill="1" applyBorder="1" applyAlignment="1">
      <alignment horizontal="center" vertical="center"/>
    </xf>
    <xf numFmtId="49" fontId="1" fillId="2" borderId="1" xfId="0" applyNumberFormat="1" applyFont="1" applyFill="1" applyBorder="1" applyAlignment="1">
      <alignment horizontal="left" vertical="center" wrapText="1"/>
    </xf>
    <xf numFmtId="1" fontId="1" fillId="2" borderId="1" xfId="0" applyNumberFormat="1" applyFont="1" applyFill="1" applyBorder="1" applyAlignment="1">
      <alignment horizontal="left" vertical="center" wrapText="1"/>
    </xf>
    <xf numFmtId="0" fontId="43" fillId="15" borderId="41" xfId="3" applyFont="1" applyFill="1" applyBorder="1" applyAlignment="1">
      <alignment vertical="center" wrapText="1"/>
    </xf>
    <xf numFmtId="0" fontId="44" fillId="0" borderId="41" xfId="3" applyFont="1" applyBorder="1" applyAlignment="1">
      <alignment horizontal="left" vertical="center" wrapText="1"/>
    </xf>
    <xf numFmtId="0" fontId="45" fillId="0" borderId="41" xfId="3" applyFont="1" applyBorder="1" applyAlignment="1">
      <alignment horizontal="left" vertical="center" wrapText="1"/>
    </xf>
    <xf numFmtId="0" fontId="44" fillId="0" borderId="41" xfId="3" applyFont="1" applyBorder="1" applyAlignment="1">
      <alignment vertical="center" wrapText="1"/>
    </xf>
    <xf numFmtId="0" fontId="44" fillId="0" borderId="16" xfId="3" applyFont="1" applyBorder="1" applyAlignment="1">
      <alignment horizontal="left" vertical="center" wrapText="1"/>
    </xf>
    <xf numFmtId="0" fontId="44" fillId="0" borderId="17" xfId="3" applyFont="1" applyBorder="1" applyAlignment="1">
      <alignment horizontal="left" vertical="center" wrapText="1"/>
    </xf>
    <xf numFmtId="0" fontId="44" fillId="0" borderId="18" xfId="3" applyFont="1" applyBorder="1" applyAlignment="1">
      <alignment horizontal="left" vertical="center" wrapText="1"/>
    </xf>
    <xf numFmtId="0" fontId="44" fillId="0" borderId="16" xfId="3" applyFont="1" applyBorder="1" applyAlignment="1">
      <alignment horizontal="center" vertical="center" wrapText="1"/>
    </xf>
    <xf numFmtId="0" fontId="44" fillId="0" borderId="17" xfId="3" applyFont="1" applyBorder="1" applyAlignment="1">
      <alignment horizontal="center" vertical="center" wrapText="1"/>
    </xf>
    <xf numFmtId="0" fontId="44" fillId="0" borderId="18" xfId="3" applyFont="1" applyBorder="1" applyAlignment="1">
      <alignment horizontal="center" vertical="center" wrapText="1"/>
    </xf>
    <xf numFmtId="0" fontId="43" fillId="0" borderId="42" xfId="3" applyFont="1" applyBorder="1" applyAlignment="1">
      <alignment horizontal="left" vertical="center" wrapText="1"/>
    </xf>
    <xf numFmtId="0" fontId="43" fillId="0" borderId="40" xfId="3" applyFont="1" applyBorder="1" applyAlignment="1">
      <alignment horizontal="left" vertical="center" wrapText="1"/>
    </xf>
    <xf numFmtId="0" fontId="43" fillId="0" borderId="43" xfId="3" applyFont="1" applyBorder="1" applyAlignment="1">
      <alignment horizontal="left" vertical="center" wrapText="1"/>
    </xf>
  </cellXfs>
  <cellStyles count="4">
    <cellStyle name="Normal" xfId="0" builtinId="0"/>
    <cellStyle name="Normal 2 2" xfId="1" xr:uid="{00000000-0005-0000-0000-000031000000}"/>
    <cellStyle name="Normal 3 2" xfId="2" xr:uid="{00000000-0005-0000-0000-000032000000}"/>
    <cellStyle name="常规 4" xfId="3" xr:uid="{54E8F295-FD87-8F4A-93AF-BC6458980D15}"/>
  </cellStyles>
  <dxfs count="21">
    <dxf>
      <font>
        <sz val="12"/>
        <color rgb="FF800000"/>
        <name val="宋体"/>
      </font>
      <fill>
        <patternFill>
          <bgColor rgb="FFFF99CC"/>
        </patternFill>
      </fill>
    </dxf>
    <dxf>
      <font>
        <color rgb="FF9C0006"/>
      </font>
      <fill>
        <patternFill>
          <bgColor rgb="FFFFC7CE"/>
        </patternFill>
      </fill>
    </dxf>
    <dxf>
      <fill>
        <patternFill patternType="solid">
          <fgColor indexed="15"/>
          <bgColor indexed="23"/>
        </patternFill>
      </fill>
    </dxf>
    <dxf>
      <fill>
        <patternFill patternType="solid">
          <fgColor indexed="15"/>
          <bgColor indexed="20"/>
        </patternFill>
      </fill>
    </dxf>
    <dxf>
      <fill>
        <patternFill patternType="solid">
          <fgColor indexed="15"/>
          <bgColor indexed="18"/>
        </patternFill>
      </fill>
    </dxf>
    <dxf>
      <fill>
        <patternFill patternType="solid">
          <fgColor indexed="15"/>
          <bgColor indexed="23"/>
        </patternFill>
      </fill>
    </dxf>
    <dxf>
      <fill>
        <patternFill patternType="solid">
          <fgColor indexed="15"/>
          <bgColor indexed="16"/>
        </patternFill>
      </fill>
    </dxf>
    <dxf>
      <fill>
        <patternFill patternType="solid">
          <fgColor indexed="15"/>
          <bgColor indexed="16"/>
        </patternFill>
      </fill>
    </dxf>
    <dxf>
      <fill>
        <patternFill patternType="solid">
          <fgColor indexed="15"/>
          <bgColor indexed="20"/>
        </patternFill>
      </fill>
    </dxf>
    <dxf>
      <fill>
        <patternFill patternType="solid">
          <fgColor indexed="15"/>
          <bgColor indexed="19"/>
        </patternFill>
      </fill>
    </dxf>
    <dxf>
      <fill>
        <patternFill patternType="solid">
          <fgColor indexed="15"/>
          <bgColor indexed="18"/>
        </patternFill>
      </fill>
    </dxf>
    <dxf>
      <fill>
        <patternFill patternType="solid">
          <fgColor indexed="15"/>
          <bgColor indexed="17"/>
        </patternFill>
      </fill>
    </dxf>
    <dxf>
      <fill>
        <patternFill patternType="solid">
          <fgColor indexed="15"/>
          <bgColor indexed="20"/>
        </patternFill>
      </fill>
    </dxf>
    <dxf>
      <fill>
        <patternFill patternType="solid">
          <fgColor indexed="15"/>
          <bgColor indexed="19"/>
        </patternFill>
      </fill>
    </dxf>
    <dxf>
      <fill>
        <patternFill patternType="solid">
          <fgColor indexed="15"/>
          <bgColor indexed="18"/>
        </patternFill>
      </fill>
    </dxf>
    <dxf>
      <fill>
        <patternFill patternType="solid">
          <fgColor indexed="15"/>
          <bgColor indexed="17"/>
        </patternFill>
      </fill>
    </dxf>
    <dxf>
      <fill>
        <patternFill patternType="solid">
          <fgColor indexed="15"/>
          <bgColor indexed="20"/>
        </patternFill>
      </fill>
    </dxf>
    <dxf>
      <fill>
        <patternFill patternType="solid">
          <fgColor indexed="15"/>
          <bgColor indexed="19"/>
        </patternFill>
      </fill>
    </dxf>
    <dxf>
      <fill>
        <patternFill patternType="solid">
          <fgColor indexed="15"/>
          <bgColor indexed="18"/>
        </patternFill>
      </fill>
    </dxf>
    <dxf>
      <fill>
        <patternFill patternType="solid">
          <fgColor indexed="15"/>
          <bgColor indexed="17"/>
        </patternFill>
      </fill>
    </dxf>
    <dxf>
      <fill>
        <patternFill patternType="solid">
          <fgColor indexed="15"/>
          <bgColor indexed="16"/>
        </patternFill>
      </fill>
    </dxf>
  </dxfs>
  <tableStyles count="0"/>
  <colors>
    <indexedColors>
      <rgbColor rgb="00000000"/>
      <rgbColor rgb="00FFFFFF"/>
      <rgbColor rgb="00FF0000"/>
      <rgbColor rgb="0000FF00"/>
      <rgbColor rgb="000000FF"/>
      <rgbColor rgb="00FFFF00"/>
      <rgbColor rgb="00FF00FF"/>
      <rgbColor rgb="0000FFFF"/>
      <rgbColor rgb="00000000"/>
      <rgbColor rgb="00D8D8D8"/>
      <rgbColor rgb="00FFFFFF"/>
      <rgbColor rgb="00AAAAAA"/>
      <rgbColor rgb="000066FF"/>
      <rgbColor rgb="00C0C0C0"/>
      <rgbColor rgb="00F2F2F2"/>
      <rgbColor rgb="00000000"/>
      <rgbColor rgb="00B2A1C7"/>
      <rgbColor rgb="00FABF8F"/>
      <rgbColor rgb="00FFFF00"/>
      <rgbColor rgb="00FF0000"/>
      <rgbColor rgb="0000B050"/>
      <rgbColor rgb="00002060"/>
      <rgbColor rgb="00FBD4B4"/>
      <rgbColor rgb="00A5A5A5"/>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770736</xdr:colOff>
      <xdr:row>7</xdr:row>
      <xdr:rowOff>3155</xdr:rowOff>
    </xdr:from>
    <xdr:to>
      <xdr:col>5</xdr:col>
      <xdr:colOff>168173</xdr:colOff>
      <xdr:row>22</xdr:row>
      <xdr:rowOff>29849</xdr:rowOff>
    </xdr:to>
    <xdr:grpSp>
      <xdr:nvGrpSpPr>
        <xdr:cNvPr id="2" name="Group">
          <a:extLst>
            <a:ext uri="{FF2B5EF4-FFF2-40B4-BE49-F238E27FC236}">
              <a16:creationId xmlns:a16="http://schemas.microsoft.com/office/drawing/2014/main" id="{00000000-0008-0000-0300-000002000000}"/>
            </a:ext>
          </a:extLst>
        </xdr:cNvPr>
        <xdr:cNvGrpSpPr/>
      </xdr:nvGrpSpPr>
      <xdr:grpSpPr>
        <a:xfrm>
          <a:off x="3192596" y="2395481"/>
          <a:ext cx="6648251" cy="3836694"/>
          <a:chOff x="0" y="0"/>
          <a:chExt cx="6642100" cy="3860800"/>
        </a:xfrm>
      </xdr:grpSpPr>
      <xdr:sp macro="" textlink="">
        <xdr:nvSpPr>
          <xdr:cNvPr id="3" name="Rectangle">
            <a:extLst>
              <a:ext uri="{FF2B5EF4-FFF2-40B4-BE49-F238E27FC236}">
                <a16:creationId xmlns:a16="http://schemas.microsoft.com/office/drawing/2014/main" id="{00000000-0008-0000-0300-000003000000}"/>
              </a:ext>
            </a:extLst>
          </xdr:cNvPr>
          <xdr:cNvSpPr/>
        </xdr:nvSpPr>
        <xdr:spPr>
          <a:xfrm>
            <a:off x="0" y="0"/>
            <a:ext cx="6642100" cy="3860800"/>
          </a:xfrm>
          <a:prstGeom prst="rect">
            <a:avLst/>
          </a:prstGeom>
          <a:solidFill>
            <a:srgbClr val="FFFFFF"/>
          </a:solidFill>
          <a:ln w="12700" cap="flat">
            <a:noFill/>
            <a:miter lim="400000"/>
          </a:ln>
          <a:effectLst/>
        </xdr:spPr>
        <xdr:txBody>
          <a:bodyPr/>
          <a:lstStyle/>
          <a:p>
            <a:endParaRPr/>
          </a:p>
        </xdr:txBody>
      </xdr:sp>
      <xdr:pic>
        <xdr:nvPicPr>
          <xdr:cNvPr id="4" name="image1.tif" descr="image1.tif">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642100" cy="3860800"/>
          </a:xfrm>
          <a:prstGeom prst="rect">
            <a:avLst/>
          </a:prstGeom>
          <a:ln w="9525" cap="flat">
            <a:solidFill>
              <a:srgbClr val="000000"/>
            </a:solidFill>
            <a:prstDash val="solid"/>
            <a:round/>
          </a:ln>
          <a:effectLst/>
        </xdr:spPr>
      </xdr:pic>
    </xdr:grpSp>
    <xdr:clientData/>
  </xdr:twoCellAnchor>
  <xdr:twoCellAnchor>
    <xdr:from>
      <xdr:col>3</xdr:col>
      <xdr:colOff>937665</xdr:colOff>
      <xdr:row>37</xdr:row>
      <xdr:rowOff>83084</xdr:rowOff>
    </xdr:from>
    <xdr:to>
      <xdr:col>4</xdr:col>
      <xdr:colOff>166169</xdr:colOff>
      <xdr:row>38</xdr:row>
      <xdr:rowOff>53535</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6447790" y="10274300"/>
          <a:ext cx="1266825" cy="173990"/>
        </a:xfrm>
        <a:prstGeom prst="rect">
          <a:avLst/>
        </a:prstGeom>
      </xdr:spPr>
      <xdr:style>
        <a:lnRef idx="2">
          <a:schemeClr val="accent2"/>
        </a:lnRef>
        <a:fillRef idx="1">
          <a:schemeClr val="lt1"/>
        </a:fillRef>
        <a:effectRef idx="0">
          <a:schemeClr val="accent2"/>
        </a:effectRef>
        <a:fontRef idx="minor">
          <a:schemeClr val="dk1"/>
        </a:fontRef>
      </xdr:style>
      <xdr:txBody>
        <a:bodyPr rot="0" spcFirstLastPara="1" vertOverflow="overflow" horzOverflow="overflow" vert="horz" wrap="square" lIns="0" tIns="0" rIns="0" bIns="0"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r>
            <a:rPr kumimoji="0" lang="en-US" altLang="zh-CN" sz="1100" b="0" i="0" u="none" strike="noStrike" cap="none" spc="0" normalizeH="0" baseline="0">
              <a:ln>
                <a:noFill/>
              </a:ln>
              <a:solidFill>
                <a:srgbClr val="000000"/>
              </a:solidFill>
              <a:effectLst/>
              <a:uFillTx/>
              <a:latin typeface="Calibri"/>
              <a:ea typeface="Calibri"/>
              <a:cs typeface="Calibri"/>
              <a:sym typeface="Calibri"/>
            </a:rPr>
            <a:t>swc1</a:t>
          </a:r>
          <a:endParaRPr kumimoji="0" lang="en-US" sz="1100" b="0" i="0" u="none" strike="noStrike" cap="none" spc="0" normalizeH="0" baseline="0">
            <a:ln>
              <a:noFill/>
            </a:ln>
            <a:solidFill>
              <a:srgbClr val="000000"/>
            </a:solidFill>
            <a:effectLst/>
            <a:uFillTx/>
            <a:latin typeface="Calibri"/>
            <a:ea typeface="Calibri"/>
            <a:cs typeface="Calibri"/>
            <a:sym typeface="Calibri"/>
          </a:endParaRPr>
        </a:p>
      </xdr:txBody>
    </xdr:sp>
    <xdr:clientData/>
  </xdr:twoCellAnchor>
  <xdr:twoCellAnchor>
    <xdr:from>
      <xdr:col>4</xdr:col>
      <xdr:colOff>1173150</xdr:colOff>
      <xdr:row>34</xdr:row>
      <xdr:rowOff>21839</xdr:rowOff>
    </xdr:from>
    <xdr:to>
      <xdr:col>5</xdr:col>
      <xdr:colOff>1006981</xdr:colOff>
      <xdr:row>34</xdr:row>
      <xdr:rowOff>194066</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8721725" y="9603740"/>
          <a:ext cx="1303020" cy="172085"/>
        </a:xfrm>
        <a:prstGeom prst="rect">
          <a:avLst/>
        </a:prstGeom>
      </xdr:spPr>
      <xdr:style>
        <a:lnRef idx="2">
          <a:schemeClr val="accent2"/>
        </a:lnRef>
        <a:fillRef idx="1">
          <a:schemeClr val="lt1"/>
        </a:fillRef>
        <a:effectRef idx="0">
          <a:schemeClr val="accent2"/>
        </a:effectRef>
        <a:fontRef idx="minor">
          <a:schemeClr val="dk1"/>
        </a:fontRef>
      </xdr:style>
      <xdr:txBody>
        <a:bodyPr rot="0" spcFirstLastPara="1" vertOverflow="overflow" horzOverflow="overflow" vert="horz" wrap="square" lIns="0" tIns="0" rIns="0" bIns="0"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r>
            <a:rPr kumimoji="0" lang="en-US" altLang="zh-CN" sz="1100" b="0" i="0" u="none" strike="noStrike" cap="none" spc="0" normalizeH="0" baseline="0">
              <a:ln>
                <a:noFill/>
              </a:ln>
              <a:solidFill>
                <a:srgbClr val="000000"/>
              </a:solidFill>
              <a:effectLst/>
              <a:uFillTx/>
              <a:latin typeface="Calibri"/>
              <a:ea typeface="Calibri"/>
              <a:cs typeface="Calibri"/>
              <a:sym typeface="Calibri"/>
            </a:rPr>
            <a:t>swc2</a:t>
          </a:r>
          <a:endParaRPr kumimoji="0" lang="en-US" sz="1100" b="0" i="0" u="none" strike="noStrike" cap="none" spc="0" normalizeH="0" baseline="0">
            <a:ln>
              <a:noFill/>
            </a:ln>
            <a:solidFill>
              <a:srgbClr val="000000"/>
            </a:solidFill>
            <a:effectLst/>
            <a:uFillTx/>
            <a:latin typeface="Calibri"/>
            <a:ea typeface="Calibri"/>
            <a:cs typeface="Calibri"/>
            <a:sym typeface="Calibri"/>
          </a:endParaRPr>
        </a:p>
      </xdr:txBody>
    </xdr:sp>
    <xdr:clientData/>
  </xdr:twoCellAnchor>
  <xdr:twoCellAnchor>
    <xdr:from>
      <xdr:col>4</xdr:col>
      <xdr:colOff>1171251</xdr:colOff>
      <xdr:row>41</xdr:row>
      <xdr:rowOff>91155</xdr:rowOff>
    </xdr:from>
    <xdr:to>
      <xdr:col>5</xdr:col>
      <xdr:colOff>1005082</xdr:colOff>
      <xdr:row>42</xdr:row>
      <xdr:rowOff>61606</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8719820" y="11095355"/>
          <a:ext cx="1303020" cy="173990"/>
        </a:xfrm>
        <a:prstGeom prst="rect">
          <a:avLst/>
        </a:prstGeom>
      </xdr:spPr>
      <xdr:style>
        <a:lnRef idx="2">
          <a:schemeClr val="accent2"/>
        </a:lnRef>
        <a:fillRef idx="1">
          <a:schemeClr val="lt1"/>
        </a:fillRef>
        <a:effectRef idx="0">
          <a:schemeClr val="accent2"/>
        </a:effectRef>
        <a:fontRef idx="minor">
          <a:schemeClr val="dk1"/>
        </a:fontRef>
      </xdr:style>
      <xdr:txBody>
        <a:bodyPr rot="0" spcFirstLastPara="1" vertOverflow="overflow" horzOverflow="overflow" vert="horz" wrap="square" lIns="0" tIns="0" rIns="0" bIns="0"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pPr>
          <a:r>
            <a:rPr kumimoji="0" lang="en-US" altLang="zh-CN" sz="1100" b="0" i="0" u="none" strike="noStrike" cap="none" spc="0" normalizeH="0" baseline="0">
              <a:ln>
                <a:noFill/>
              </a:ln>
              <a:solidFill>
                <a:srgbClr val="000000"/>
              </a:solidFill>
              <a:effectLst/>
              <a:uFillTx/>
              <a:latin typeface="Calibri"/>
              <a:ea typeface="Calibri"/>
              <a:cs typeface="Calibri"/>
              <a:sym typeface="Calibri"/>
            </a:rPr>
            <a:t>swc3</a:t>
          </a:r>
          <a:endParaRPr kumimoji="0" lang="en-US" sz="1100" b="0" i="0" u="none" strike="noStrike" cap="none" spc="0" normalizeH="0" baseline="0">
            <a:ln>
              <a:noFill/>
            </a:ln>
            <a:solidFill>
              <a:srgbClr val="000000"/>
            </a:solidFill>
            <a:effectLst/>
            <a:uFillTx/>
            <a:latin typeface="Calibri"/>
            <a:ea typeface="Calibri"/>
            <a:cs typeface="Calibri"/>
            <a:sym typeface="Calibri"/>
          </a:endParaRPr>
        </a:p>
      </xdr:txBody>
    </xdr:sp>
    <xdr:clientData/>
  </xdr:twoCellAnchor>
  <xdr:twoCellAnchor>
    <xdr:from>
      <xdr:col>4</xdr:col>
      <xdr:colOff>166169</xdr:colOff>
      <xdr:row>34</xdr:row>
      <xdr:rowOff>107953</xdr:rowOff>
    </xdr:from>
    <xdr:to>
      <xdr:col>4</xdr:col>
      <xdr:colOff>1173150</xdr:colOff>
      <xdr:row>37</xdr:row>
      <xdr:rowOff>169198</xdr:rowOff>
    </xdr:to>
    <xdr:cxnSp macro="">
      <xdr:nvCxnSpPr>
        <xdr:cNvPr id="9" name="Straight Arrow Connector 8">
          <a:extLst>
            <a:ext uri="{FF2B5EF4-FFF2-40B4-BE49-F238E27FC236}">
              <a16:creationId xmlns:a16="http://schemas.microsoft.com/office/drawing/2014/main" id="{00000000-0008-0000-0300-000009000000}"/>
            </a:ext>
          </a:extLst>
        </xdr:cNvPr>
        <xdr:cNvCxnSpPr>
          <a:stCxn id="5" idx="3"/>
          <a:endCxn id="6" idx="1"/>
        </xdr:cNvCxnSpPr>
      </xdr:nvCxnSpPr>
      <xdr:spPr>
        <a:xfrm flipV="1">
          <a:off x="7714615" y="9690100"/>
          <a:ext cx="1007110" cy="67056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166169</xdr:colOff>
      <xdr:row>37</xdr:row>
      <xdr:rowOff>169198</xdr:rowOff>
    </xdr:from>
    <xdr:to>
      <xdr:col>4</xdr:col>
      <xdr:colOff>1171251</xdr:colOff>
      <xdr:row>41</xdr:row>
      <xdr:rowOff>177269</xdr:rowOff>
    </xdr:to>
    <xdr:cxnSp macro="">
      <xdr:nvCxnSpPr>
        <xdr:cNvPr id="11" name="Straight Arrow Connector 10">
          <a:extLst>
            <a:ext uri="{FF2B5EF4-FFF2-40B4-BE49-F238E27FC236}">
              <a16:creationId xmlns:a16="http://schemas.microsoft.com/office/drawing/2014/main" id="{00000000-0008-0000-0300-00000B000000}"/>
            </a:ext>
          </a:extLst>
        </xdr:cNvPr>
        <xdr:cNvCxnSpPr>
          <a:stCxn id="5" idx="3"/>
          <a:endCxn id="7" idx="1"/>
        </xdr:cNvCxnSpPr>
      </xdr:nvCxnSpPr>
      <xdr:spPr>
        <a:xfrm>
          <a:off x="7714615" y="10360660"/>
          <a:ext cx="1005205" cy="82105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324502</xdr:colOff>
      <xdr:row>4</xdr:row>
      <xdr:rowOff>281601</xdr:rowOff>
    </xdr:from>
    <xdr:to>
      <xdr:col>29</xdr:col>
      <xdr:colOff>201439</xdr:colOff>
      <xdr:row>12</xdr:row>
      <xdr:rowOff>336686</xdr:rowOff>
    </xdr:to>
    <xdr:grpSp>
      <xdr:nvGrpSpPr>
        <xdr:cNvPr id="2" name="Rectangle 1">
          <a:extLst>
            <a:ext uri="{FF2B5EF4-FFF2-40B4-BE49-F238E27FC236}">
              <a16:creationId xmlns:a16="http://schemas.microsoft.com/office/drawing/2014/main" id="{00000000-0008-0000-0500-000002000000}"/>
            </a:ext>
          </a:extLst>
        </xdr:cNvPr>
        <xdr:cNvGrpSpPr/>
      </xdr:nvGrpSpPr>
      <xdr:grpSpPr>
        <a:xfrm>
          <a:off x="25610202" y="4129701"/>
          <a:ext cx="3242437" cy="4017485"/>
          <a:chOff x="0" y="-251444"/>
          <a:chExt cx="3225119" cy="4050217"/>
        </a:xfrm>
      </xdr:grpSpPr>
      <xdr:sp macro="" textlink="">
        <xdr:nvSpPr>
          <xdr:cNvPr id="3" name="Rectangle">
            <a:extLst>
              <a:ext uri="{FF2B5EF4-FFF2-40B4-BE49-F238E27FC236}">
                <a16:creationId xmlns:a16="http://schemas.microsoft.com/office/drawing/2014/main" id="{00000000-0008-0000-0500-000003000000}"/>
              </a:ext>
            </a:extLst>
          </xdr:cNvPr>
          <xdr:cNvSpPr/>
        </xdr:nvSpPr>
        <xdr:spPr>
          <a:xfrm>
            <a:off x="0" y="0"/>
            <a:ext cx="3225120" cy="2527921"/>
          </a:xfrm>
          <a:prstGeom prst="rect">
            <a:avLst/>
          </a:prstGeom>
          <a:solidFill>
            <a:srgbClr val="A7E8FF"/>
          </a:solidFill>
          <a:ln w="25400" cap="flat">
            <a:solidFill>
              <a:schemeClr val="accent1"/>
            </a:solidFill>
            <a:prstDash val="solid"/>
            <a:round/>
          </a:ln>
          <a:effectLst/>
        </xdr:spPr>
        <xdr:txBody>
          <a:bodyPr/>
          <a:lstStyle/>
          <a:p>
            <a:endParaRPr/>
          </a:p>
        </xdr:txBody>
      </xdr:sp>
      <xdr:sp macro="" textlink="">
        <xdr:nvSpPr>
          <xdr:cNvPr id="4" name="1-共因[控制流，单个信号给多个SWC]…">
            <a:extLst>
              <a:ext uri="{FF2B5EF4-FFF2-40B4-BE49-F238E27FC236}">
                <a16:creationId xmlns:a16="http://schemas.microsoft.com/office/drawing/2014/main" id="{00000000-0008-0000-0500-000004000000}"/>
              </a:ext>
            </a:extLst>
          </xdr:cNvPr>
          <xdr:cNvSpPr txBox="1"/>
        </xdr:nvSpPr>
        <xdr:spPr>
          <a:xfrm>
            <a:off x="39369" y="-251445"/>
            <a:ext cx="3146381" cy="4050218"/>
          </a:xfrm>
          <a:prstGeom prst="rect">
            <a:avLst/>
          </a:prstGeom>
          <a:noFill/>
          <a:ln w="12700" cap="flat">
            <a:noFill/>
            <a:miter lim="400000"/>
          </a:ln>
          <a:effectLst/>
        </xdr:spPr>
        <xdr:txBody>
          <a:bodyPr wrap="square" lIns="45719" tIns="45719" rIns="45719" bIns="45719" numCol="1" anchor="t">
            <a:spAutoFit/>
          </a:bodyPr>
          <a:lstStyle/>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1-</a:t>
            </a:r>
            <a:r>
              <a:rPr sz="2400" b="0" i="0" u="none" strike="noStrike" cap="none" spc="-1" baseline="0">
                <a:solidFill>
                  <a:srgbClr val="000000"/>
                </a:solidFill>
                <a:uFillTx/>
                <a:latin typeface="Helvetica"/>
                <a:ea typeface="Helvetica"/>
                <a:cs typeface="Helvetica"/>
                <a:sym typeface="Helvetica"/>
              </a:rPr>
              <a:t>共因</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t>
            </a:r>
            <a:r>
              <a:rPr sz="2400" b="0" i="0" u="none" strike="noStrike" cap="none" spc="-1" baseline="0">
                <a:solidFill>
                  <a:srgbClr val="000000"/>
                </a:solidFill>
                <a:uFillTx/>
                <a:latin typeface="Helvetica"/>
                <a:ea typeface="Helvetica"/>
                <a:cs typeface="Helvetica"/>
                <a:sym typeface="Helvetica"/>
              </a:rPr>
              <a:t>控制流，单个信号给多个</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SWC]</a:t>
            </a:r>
          </a:p>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2-</a:t>
            </a:r>
            <a:r>
              <a:rPr sz="2400" b="0" i="0" u="none" strike="noStrike" cap="none" spc="-1" baseline="0">
                <a:solidFill>
                  <a:srgbClr val="000000"/>
                </a:solidFill>
                <a:uFillTx/>
                <a:latin typeface="Helvetica"/>
                <a:ea typeface="Helvetica"/>
                <a:cs typeface="Helvetica"/>
                <a:sym typeface="Helvetica"/>
              </a:rPr>
              <a:t>级联</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t>
            </a:r>
            <a:r>
              <a:rPr sz="2400" b="0" i="0" u="none" strike="noStrike" cap="none" spc="-1" baseline="0">
                <a:solidFill>
                  <a:srgbClr val="000000"/>
                </a:solidFill>
                <a:uFillTx/>
                <a:latin typeface="Helvetica"/>
                <a:ea typeface="Helvetica"/>
                <a:cs typeface="Helvetica"/>
                <a:sym typeface="Helvetica"/>
              </a:rPr>
              <a:t>同一个</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ASIL </a:t>
            </a:r>
            <a:r>
              <a:rPr sz="2400" b="0" i="0" u="none" strike="noStrike" cap="none" spc="-1" baseline="0">
                <a:solidFill>
                  <a:srgbClr val="000000"/>
                </a:solidFill>
                <a:uFillTx/>
                <a:latin typeface="Helvetica"/>
                <a:ea typeface="Helvetica"/>
                <a:cs typeface="Helvetica"/>
                <a:sym typeface="Helvetica"/>
              </a:rPr>
              <a:t>等级功能传递过程中的源头失效</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t>
            </a:r>
          </a:p>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3-</a:t>
            </a:r>
            <a:r>
              <a:rPr sz="2400" b="0" i="0" u="none" strike="noStrike" cap="none" spc="-1" baseline="0">
                <a:solidFill>
                  <a:srgbClr val="000000"/>
                </a:solidFill>
                <a:uFillTx/>
                <a:latin typeface="Helvetica"/>
                <a:ea typeface="Helvetica"/>
                <a:cs typeface="Helvetica"/>
                <a:sym typeface="Helvetica"/>
              </a:rPr>
              <a:t>共存</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t>
            </a:r>
            <a:r>
              <a:rPr sz="2400" b="0" i="0" u="none" strike="noStrike" cap="none" spc="-1" baseline="0">
                <a:solidFill>
                  <a:srgbClr val="000000"/>
                </a:solidFill>
                <a:uFillTx/>
                <a:latin typeface="Helvetica"/>
                <a:ea typeface="Helvetica"/>
                <a:cs typeface="Helvetica"/>
                <a:sym typeface="Helvetica"/>
              </a:rPr>
              <a:t>不同</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ASIL </a:t>
            </a:r>
            <a:r>
              <a:rPr sz="2400" b="0" i="0" u="none" strike="noStrike" cap="none" spc="-1" baseline="0">
                <a:solidFill>
                  <a:srgbClr val="000000"/>
                </a:solidFill>
                <a:uFillTx/>
                <a:latin typeface="Helvetica"/>
                <a:ea typeface="Helvetica"/>
                <a:cs typeface="Helvetica"/>
                <a:sym typeface="Helvetica"/>
              </a:rPr>
              <a:t>等级：分解</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[A(C)+ B(C)]</a:t>
            </a:r>
            <a:r>
              <a:rPr sz="2400" b="0" i="0" u="none" strike="noStrike" cap="none" spc="-1" baseline="0">
                <a:solidFill>
                  <a:srgbClr val="000000"/>
                </a:solidFill>
                <a:uFillTx/>
                <a:latin typeface="Helvetica"/>
                <a:ea typeface="Helvetica"/>
                <a:cs typeface="Helvetica"/>
                <a:sym typeface="Helvetica"/>
              </a:rPr>
              <a:t>，</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QM +ASIL]</a:t>
            </a:r>
          </a:p>
        </xdr:txBody>
      </xdr:sp>
    </xdr:grpSp>
    <xdr:clientData/>
  </xdr:twoCellAnchor>
  <xdr:twoCellAnchor>
    <xdr:from>
      <xdr:col>18</xdr:col>
      <xdr:colOff>0</xdr:colOff>
      <xdr:row>3</xdr:row>
      <xdr:rowOff>0</xdr:rowOff>
    </xdr:from>
    <xdr:to>
      <xdr:col>22</xdr:col>
      <xdr:colOff>537215</xdr:colOff>
      <xdr:row>9</xdr:row>
      <xdr:rowOff>100473</xdr:rowOff>
    </xdr:to>
    <xdr:grpSp>
      <xdr:nvGrpSpPr>
        <xdr:cNvPr id="5" name="Rectangle 3">
          <a:extLst>
            <a:ext uri="{FF2B5EF4-FFF2-40B4-BE49-F238E27FC236}">
              <a16:creationId xmlns:a16="http://schemas.microsoft.com/office/drawing/2014/main" id="{00000000-0008-0000-0500-000005000000}"/>
            </a:ext>
          </a:extLst>
        </xdr:cNvPr>
        <xdr:cNvGrpSpPr/>
      </xdr:nvGrpSpPr>
      <xdr:grpSpPr>
        <a:xfrm>
          <a:off x="21247100" y="3352800"/>
          <a:ext cx="3229615" cy="3072273"/>
          <a:chOff x="0" y="-148519"/>
          <a:chExt cx="3215761" cy="3079199"/>
        </a:xfrm>
      </xdr:grpSpPr>
      <xdr:sp macro="" textlink="">
        <xdr:nvSpPr>
          <xdr:cNvPr id="6" name="Rectangle">
            <a:extLst>
              <a:ext uri="{FF2B5EF4-FFF2-40B4-BE49-F238E27FC236}">
                <a16:creationId xmlns:a16="http://schemas.microsoft.com/office/drawing/2014/main" id="{00000000-0008-0000-0500-000006000000}"/>
              </a:ext>
            </a:extLst>
          </xdr:cNvPr>
          <xdr:cNvSpPr/>
        </xdr:nvSpPr>
        <xdr:spPr>
          <a:xfrm>
            <a:off x="0" y="0"/>
            <a:ext cx="3215761" cy="1321561"/>
          </a:xfrm>
          <a:prstGeom prst="rect">
            <a:avLst/>
          </a:prstGeom>
          <a:solidFill>
            <a:srgbClr val="A7E8FF"/>
          </a:solidFill>
          <a:ln w="25400" cap="flat">
            <a:solidFill>
              <a:schemeClr val="accent1"/>
            </a:solidFill>
            <a:prstDash val="solid"/>
            <a:round/>
          </a:ln>
          <a:effectLst/>
        </xdr:spPr>
        <xdr:txBody>
          <a:bodyPr/>
          <a:lstStyle/>
          <a:p>
            <a:endParaRPr/>
          </a:p>
        </xdr:txBody>
      </xdr:sp>
      <xdr:sp macro="" textlink="">
        <xdr:nvSpPr>
          <xdr:cNvPr id="7" name="1-静态架构[分区，分核]…">
            <a:extLst>
              <a:ext uri="{FF2B5EF4-FFF2-40B4-BE49-F238E27FC236}">
                <a16:creationId xmlns:a16="http://schemas.microsoft.com/office/drawing/2014/main" id="{00000000-0008-0000-0500-000007000000}"/>
              </a:ext>
            </a:extLst>
          </xdr:cNvPr>
          <xdr:cNvSpPr txBox="1"/>
        </xdr:nvSpPr>
        <xdr:spPr>
          <a:xfrm>
            <a:off x="39369" y="-148519"/>
            <a:ext cx="3137022" cy="3079199"/>
          </a:xfrm>
          <a:prstGeom prst="rect">
            <a:avLst/>
          </a:prstGeom>
          <a:noFill/>
          <a:ln w="12700" cap="flat">
            <a:noFill/>
            <a:miter lim="400000"/>
          </a:ln>
          <a:effectLst/>
        </xdr:spPr>
        <xdr:txBody>
          <a:bodyPr wrap="square" lIns="45719" tIns="45719" rIns="45719" bIns="45719" numCol="1" anchor="t">
            <a:noAutofit/>
          </a:bodyPr>
          <a:lstStyle/>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1-</a:t>
            </a:r>
            <a:r>
              <a:rPr sz="2400" b="0" i="0" u="none" strike="noStrike" cap="none" spc="-1" baseline="0">
                <a:solidFill>
                  <a:srgbClr val="000000"/>
                </a:solidFill>
                <a:uFillTx/>
                <a:latin typeface="Helvetica"/>
                <a:ea typeface="Helvetica"/>
                <a:cs typeface="Helvetica"/>
                <a:sym typeface="Helvetica"/>
              </a:rPr>
              <a:t>静态架构</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t>
            </a:r>
            <a:r>
              <a:rPr sz="2400" b="0" i="0" u="none" strike="noStrike" cap="none" spc="-1" baseline="0">
                <a:solidFill>
                  <a:srgbClr val="000000"/>
                </a:solidFill>
                <a:uFillTx/>
                <a:latin typeface="Helvetica"/>
                <a:ea typeface="Helvetica"/>
                <a:cs typeface="Helvetica"/>
                <a:sym typeface="Helvetica"/>
              </a:rPr>
              <a:t>分区，分核</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t>
            </a:r>
          </a:p>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2-</a:t>
            </a:r>
            <a:r>
              <a:rPr sz="2400" b="0" i="0" u="none" strike="noStrike" cap="none" spc="-1" baseline="0">
                <a:solidFill>
                  <a:srgbClr val="000000"/>
                </a:solidFill>
                <a:uFillTx/>
                <a:latin typeface="Helvetica"/>
                <a:ea typeface="Helvetica"/>
                <a:cs typeface="Helvetica"/>
                <a:sym typeface="Helvetica"/>
              </a:rPr>
              <a:t>数据流</a:t>
            </a:r>
            <a:endPar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endParaRPr>
          </a:p>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3-</a:t>
            </a:r>
            <a:r>
              <a:rPr sz="2400" b="0" i="0" u="none" strike="noStrike" cap="none" spc="-1" baseline="0">
                <a:solidFill>
                  <a:srgbClr val="000000"/>
                </a:solidFill>
                <a:uFillTx/>
                <a:latin typeface="Helvetica"/>
                <a:ea typeface="Helvetica"/>
                <a:cs typeface="Helvetica"/>
                <a:sym typeface="Helvetica"/>
              </a:rPr>
              <a:t>控制流</a:t>
            </a: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[int,wdt, SWmode,task]</a:t>
            </a:r>
          </a:p>
        </xdr:txBody>
      </xdr:sp>
    </xdr:grpSp>
    <xdr:clientData/>
  </xdr:twoCellAnchor>
  <xdr:twoCellAnchor>
    <xdr:from>
      <xdr:col>29</xdr:col>
      <xdr:colOff>655400</xdr:colOff>
      <xdr:row>3</xdr:row>
      <xdr:rowOff>157769</xdr:rowOff>
    </xdr:from>
    <xdr:to>
      <xdr:col>30</xdr:col>
      <xdr:colOff>630362</xdr:colOff>
      <xdr:row>6</xdr:row>
      <xdr:rowOff>168197</xdr:rowOff>
    </xdr:to>
    <xdr:grpSp>
      <xdr:nvGrpSpPr>
        <xdr:cNvPr id="8" name="Rectangle 10">
          <a:extLst>
            <a:ext uri="{FF2B5EF4-FFF2-40B4-BE49-F238E27FC236}">
              <a16:creationId xmlns:a16="http://schemas.microsoft.com/office/drawing/2014/main" id="{00000000-0008-0000-0500-000008000000}"/>
            </a:ext>
          </a:extLst>
        </xdr:cNvPr>
        <xdr:cNvGrpSpPr/>
      </xdr:nvGrpSpPr>
      <xdr:grpSpPr>
        <a:xfrm>
          <a:off x="29306600" y="3510569"/>
          <a:ext cx="648062" cy="1496328"/>
          <a:chOff x="0" y="-93049"/>
          <a:chExt cx="644598" cy="1499790"/>
        </a:xfrm>
      </xdr:grpSpPr>
      <xdr:sp macro="" textlink="">
        <xdr:nvSpPr>
          <xdr:cNvPr id="9" name="Rectangle">
            <a:extLst>
              <a:ext uri="{FF2B5EF4-FFF2-40B4-BE49-F238E27FC236}">
                <a16:creationId xmlns:a16="http://schemas.microsoft.com/office/drawing/2014/main" id="{00000000-0008-0000-0500-000009000000}"/>
              </a:ext>
            </a:extLst>
          </xdr:cNvPr>
          <xdr:cNvSpPr/>
        </xdr:nvSpPr>
        <xdr:spPr>
          <a:xfrm>
            <a:off x="0" y="0"/>
            <a:ext cx="644599" cy="639361"/>
          </a:xfrm>
          <a:prstGeom prst="rect">
            <a:avLst/>
          </a:prstGeom>
          <a:solidFill>
            <a:srgbClr val="92D050"/>
          </a:solidFill>
          <a:ln w="9525" cap="flat">
            <a:solidFill>
              <a:srgbClr val="000000"/>
            </a:solidFill>
            <a:prstDash val="solid"/>
            <a:round/>
          </a:ln>
          <a:effectLst/>
        </xdr:spPr>
        <xdr:txBody>
          <a:bodyPr/>
          <a:lstStyle/>
          <a:p>
            <a:endParaRPr/>
          </a:p>
        </xdr:txBody>
      </xdr:sp>
      <xdr:sp macro="" textlink="">
        <xdr:nvSpPr>
          <xdr:cNvPr id="10" name="Chag mode: 充电电流命令 SWC1">
            <a:extLst>
              <a:ext uri="{FF2B5EF4-FFF2-40B4-BE49-F238E27FC236}">
                <a16:creationId xmlns:a16="http://schemas.microsoft.com/office/drawing/2014/main" id="{00000000-0008-0000-0500-00000A000000}"/>
              </a:ext>
            </a:extLst>
          </xdr:cNvPr>
          <xdr:cNvSpPr txBox="1"/>
        </xdr:nvSpPr>
        <xdr:spPr>
          <a:xfrm>
            <a:off x="31432" y="-93050"/>
            <a:ext cx="581735" cy="1499791"/>
          </a:xfrm>
          <a:prstGeom prst="rect">
            <a:avLst/>
          </a:prstGeom>
          <a:noFill/>
          <a:ln w="12700" cap="flat">
            <a:noFill/>
            <a:miter lim="400000"/>
          </a:ln>
          <a:effectLst/>
        </xdr:spPr>
        <xdr:txBody>
          <a:bodyPr wrap="square" lIns="45719" tIns="45719" rIns="45719" bIns="45719"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Chag mode: </a:t>
            </a:r>
            <a:r>
              <a:rPr sz="1200" b="0" i="0" u="none" strike="noStrike" cap="none" spc="-1" baseline="0">
                <a:solidFill>
                  <a:srgbClr val="000000"/>
                </a:solidFill>
                <a:uFillTx/>
                <a:latin typeface="Helvetica"/>
                <a:ea typeface="Helvetica"/>
                <a:cs typeface="Helvetica"/>
                <a:sym typeface="Helvetica"/>
              </a:rPr>
              <a:t>充电电流命令 </a:t>
            </a:r>
            <a:r>
              <a: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SWC1</a:t>
            </a:r>
          </a:p>
        </xdr:txBody>
      </xdr:sp>
    </xdr:grpSp>
    <xdr:clientData/>
  </xdr:twoCellAnchor>
  <xdr:twoCellAnchor>
    <xdr:from>
      <xdr:col>31</xdr:col>
      <xdr:colOff>406046</xdr:colOff>
      <xdr:row>3</xdr:row>
      <xdr:rowOff>228332</xdr:rowOff>
    </xdr:from>
    <xdr:to>
      <xdr:col>33</xdr:col>
      <xdr:colOff>337493</xdr:colOff>
      <xdr:row>5</xdr:row>
      <xdr:rowOff>56224</xdr:rowOff>
    </xdr:to>
    <xdr:grpSp>
      <xdr:nvGrpSpPr>
        <xdr:cNvPr id="11" name="Rectangle 11">
          <a:extLst>
            <a:ext uri="{FF2B5EF4-FFF2-40B4-BE49-F238E27FC236}">
              <a16:creationId xmlns:a16="http://schemas.microsoft.com/office/drawing/2014/main" id="{00000000-0008-0000-0500-00000B000000}"/>
            </a:ext>
          </a:extLst>
        </xdr:cNvPr>
        <xdr:cNvGrpSpPr/>
      </xdr:nvGrpSpPr>
      <xdr:grpSpPr>
        <a:xfrm>
          <a:off x="30403446" y="3581132"/>
          <a:ext cx="1277647" cy="818492"/>
          <a:chOff x="0" y="-48767"/>
          <a:chExt cx="1270720" cy="820800"/>
        </a:xfrm>
      </xdr:grpSpPr>
      <xdr:sp macro="" textlink="">
        <xdr:nvSpPr>
          <xdr:cNvPr id="12" name="Rectangle">
            <a:extLst>
              <a:ext uri="{FF2B5EF4-FFF2-40B4-BE49-F238E27FC236}">
                <a16:creationId xmlns:a16="http://schemas.microsoft.com/office/drawing/2014/main" id="{00000000-0008-0000-0500-00000C000000}"/>
              </a:ext>
            </a:extLst>
          </xdr:cNvPr>
          <xdr:cNvSpPr/>
        </xdr:nvSpPr>
        <xdr:spPr>
          <a:xfrm>
            <a:off x="0" y="0"/>
            <a:ext cx="1270721" cy="639359"/>
          </a:xfrm>
          <a:prstGeom prst="rect">
            <a:avLst/>
          </a:prstGeom>
          <a:solidFill>
            <a:srgbClr val="92D050"/>
          </a:solidFill>
          <a:ln w="9525" cap="flat">
            <a:solidFill>
              <a:srgbClr val="000000"/>
            </a:solidFill>
            <a:prstDash val="solid"/>
            <a:round/>
          </a:ln>
          <a:effectLst/>
        </xdr:spPr>
        <xdr:txBody>
          <a:bodyPr/>
          <a:lstStyle/>
          <a:p>
            <a:endParaRPr/>
          </a:p>
        </xdr:txBody>
      </xdr:sp>
      <xdr:sp macro="" textlink="">
        <xdr:nvSpPr>
          <xdr:cNvPr id="13" name="Chag mode: 充电电压命令SWC2">
            <a:extLst>
              <a:ext uri="{FF2B5EF4-FFF2-40B4-BE49-F238E27FC236}">
                <a16:creationId xmlns:a16="http://schemas.microsoft.com/office/drawing/2014/main" id="{00000000-0008-0000-0500-00000D000000}"/>
              </a:ext>
            </a:extLst>
          </xdr:cNvPr>
          <xdr:cNvSpPr txBox="1"/>
        </xdr:nvSpPr>
        <xdr:spPr>
          <a:xfrm>
            <a:off x="31432" y="-48768"/>
            <a:ext cx="1207856" cy="820801"/>
          </a:xfrm>
          <a:prstGeom prst="rect">
            <a:avLst/>
          </a:prstGeom>
          <a:noFill/>
          <a:ln w="12700" cap="flat">
            <a:noFill/>
            <a:miter lim="400000"/>
          </a:ln>
          <a:effectLst/>
        </xdr:spPr>
        <xdr:txBody>
          <a:bodyPr wrap="square" lIns="45719" tIns="45719" rIns="45719" bIns="45719"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Chag mode: </a:t>
            </a:r>
            <a:r>
              <a:rPr sz="1200" b="0" i="0" u="none" strike="noStrike" cap="none" spc="-1" baseline="0">
                <a:solidFill>
                  <a:srgbClr val="000000"/>
                </a:solidFill>
                <a:uFillTx/>
                <a:latin typeface="Helvetica"/>
                <a:ea typeface="Helvetica"/>
                <a:cs typeface="Helvetica"/>
                <a:sym typeface="Helvetica"/>
              </a:rPr>
              <a:t>充电电压命令</a:t>
            </a:r>
            <a:r>
              <a: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SWC2</a:t>
            </a:r>
          </a:p>
        </xdr:txBody>
      </xdr:sp>
    </xdr:grpSp>
    <xdr:clientData/>
  </xdr:twoCellAnchor>
  <xdr:twoCellAnchor>
    <xdr:from>
      <xdr:col>33</xdr:col>
      <xdr:colOff>446294</xdr:colOff>
      <xdr:row>3</xdr:row>
      <xdr:rowOff>208762</xdr:rowOff>
    </xdr:from>
    <xdr:to>
      <xdr:col>35</xdr:col>
      <xdr:colOff>229002</xdr:colOff>
      <xdr:row>4</xdr:row>
      <xdr:rowOff>496454</xdr:rowOff>
    </xdr:to>
    <xdr:grpSp>
      <xdr:nvGrpSpPr>
        <xdr:cNvPr id="14" name="Rectangle 12">
          <a:extLst>
            <a:ext uri="{FF2B5EF4-FFF2-40B4-BE49-F238E27FC236}">
              <a16:creationId xmlns:a16="http://schemas.microsoft.com/office/drawing/2014/main" id="{00000000-0008-0000-0500-00000E000000}"/>
            </a:ext>
          </a:extLst>
        </xdr:cNvPr>
        <xdr:cNvGrpSpPr/>
      </xdr:nvGrpSpPr>
      <xdr:grpSpPr>
        <a:xfrm>
          <a:off x="31789894" y="3561562"/>
          <a:ext cx="1128908" cy="782992"/>
          <a:chOff x="0" y="-46377"/>
          <a:chExt cx="1121980" cy="784145"/>
        </a:xfrm>
      </xdr:grpSpPr>
      <xdr:sp macro="" textlink="">
        <xdr:nvSpPr>
          <xdr:cNvPr id="15" name="Rectangle">
            <a:extLst>
              <a:ext uri="{FF2B5EF4-FFF2-40B4-BE49-F238E27FC236}">
                <a16:creationId xmlns:a16="http://schemas.microsoft.com/office/drawing/2014/main" id="{00000000-0008-0000-0500-00000F000000}"/>
              </a:ext>
            </a:extLst>
          </xdr:cNvPr>
          <xdr:cNvSpPr/>
        </xdr:nvSpPr>
        <xdr:spPr>
          <a:xfrm>
            <a:off x="0" y="0"/>
            <a:ext cx="1121981" cy="563039"/>
          </a:xfrm>
          <a:prstGeom prst="rect">
            <a:avLst/>
          </a:prstGeom>
          <a:solidFill>
            <a:srgbClr val="92D050"/>
          </a:solidFill>
          <a:ln w="9525" cap="flat">
            <a:solidFill>
              <a:srgbClr val="000000"/>
            </a:solidFill>
            <a:prstDash val="solid"/>
            <a:round/>
          </a:ln>
          <a:effectLst/>
        </xdr:spPr>
        <xdr:txBody>
          <a:bodyPr/>
          <a:lstStyle/>
          <a:p>
            <a:endParaRPr/>
          </a:p>
        </xdr:txBody>
      </xdr:sp>
      <xdr:sp macro="" textlink="">
        <xdr:nvSpPr>
          <xdr:cNvPr id="16" name="Chag mode: 扭矩自锁 SWC3">
            <a:extLst>
              <a:ext uri="{FF2B5EF4-FFF2-40B4-BE49-F238E27FC236}">
                <a16:creationId xmlns:a16="http://schemas.microsoft.com/office/drawing/2014/main" id="{00000000-0008-0000-0500-000010000000}"/>
              </a:ext>
            </a:extLst>
          </xdr:cNvPr>
          <xdr:cNvSpPr txBox="1"/>
        </xdr:nvSpPr>
        <xdr:spPr>
          <a:xfrm>
            <a:off x="31432" y="-46378"/>
            <a:ext cx="1059116" cy="784147"/>
          </a:xfrm>
          <a:prstGeom prst="rect">
            <a:avLst/>
          </a:prstGeom>
          <a:noFill/>
          <a:ln w="12700" cap="flat">
            <a:noFill/>
            <a:miter lim="400000"/>
          </a:ln>
          <a:effectLst/>
        </xdr:spPr>
        <xdr:txBody>
          <a:bodyPr wrap="square" lIns="45719" tIns="45719" rIns="45719" bIns="45719"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Chag mode: </a:t>
            </a:r>
            <a:r>
              <a:rPr sz="1200" b="0" i="0" u="none" strike="noStrike" cap="none" spc="-1" baseline="0">
                <a:solidFill>
                  <a:srgbClr val="000000"/>
                </a:solidFill>
                <a:uFillTx/>
                <a:latin typeface="Helvetica"/>
                <a:ea typeface="Helvetica"/>
                <a:cs typeface="Helvetica"/>
                <a:sym typeface="Helvetica"/>
              </a:rPr>
              <a:t>扭矩自锁 </a:t>
            </a:r>
            <a:r>
              <a:rPr sz="12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SWC3</a:t>
            </a:r>
          </a:p>
        </xdr:txBody>
      </xdr:sp>
    </xdr:grpSp>
    <xdr:clientData/>
  </xdr:twoCellAnchor>
  <xdr:twoCellAnchor>
    <xdr:from>
      <xdr:col>30</xdr:col>
      <xdr:colOff>630362</xdr:colOff>
      <xdr:row>4</xdr:row>
      <xdr:rowOff>74406</xdr:rowOff>
    </xdr:from>
    <xdr:to>
      <xdr:col>31</xdr:col>
      <xdr:colOff>420487</xdr:colOff>
      <xdr:row>4</xdr:row>
      <xdr:rowOff>80846</xdr:rowOff>
    </xdr:to>
    <xdr:sp macro="" textlink="">
      <xdr:nvSpPr>
        <xdr:cNvPr id="17" name="Straight Arrow Connector 14">
          <a:extLst>
            <a:ext uri="{FF2B5EF4-FFF2-40B4-BE49-F238E27FC236}">
              <a16:creationId xmlns:a16="http://schemas.microsoft.com/office/drawing/2014/main" id="{00000000-0008-0000-0500-000011000000}"/>
            </a:ext>
          </a:extLst>
        </xdr:cNvPr>
        <xdr:cNvSpPr/>
      </xdr:nvSpPr>
      <xdr:spPr>
        <a:xfrm>
          <a:off x="27990800" y="4079875"/>
          <a:ext cx="420370" cy="6350"/>
        </a:xfrm>
        <a:prstGeom prst="line">
          <a:avLst/>
        </a:prstGeom>
        <a:noFill/>
        <a:ln w="9525" cap="flat">
          <a:solidFill>
            <a:srgbClr val="000000"/>
          </a:solidFill>
          <a:prstDash val="solid"/>
          <a:round/>
          <a:tailEnd type="triangle" w="med" len="med"/>
        </a:ln>
        <a:effectLst/>
      </xdr:spPr>
      <xdr:txBody>
        <a:bodyPr/>
        <a:lstStyle/>
        <a:p>
          <a:endParaRPr/>
        </a:p>
      </xdr:txBody>
    </xdr:sp>
    <xdr:clientData/>
  </xdr:twoCellAnchor>
  <xdr:twoCellAnchor>
    <xdr:from>
      <xdr:col>29</xdr:col>
      <xdr:colOff>461360</xdr:colOff>
      <xdr:row>8</xdr:row>
      <xdr:rowOff>23587</xdr:rowOff>
    </xdr:from>
    <xdr:to>
      <xdr:col>31</xdr:col>
      <xdr:colOff>69086</xdr:colOff>
      <xdr:row>9</xdr:row>
      <xdr:rowOff>406069</xdr:rowOff>
    </xdr:to>
    <xdr:grpSp>
      <xdr:nvGrpSpPr>
        <xdr:cNvPr id="18" name="Rectangle 17">
          <a:extLst>
            <a:ext uri="{FF2B5EF4-FFF2-40B4-BE49-F238E27FC236}">
              <a16:creationId xmlns:a16="http://schemas.microsoft.com/office/drawing/2014/main" id="{00000000-0008-0000-0500-000012000000}"/>
            </a:ext>
          </a:extLst>
        </xdr:cNvPr>
        <xdr:cNvGrpSpPr/>
      </xdr:nvGrpSpPr>
      <xdr:grpSpPr>
        <a:xfrm>
          <a:off x="29112560" y="5852887"/>
          <a:ext cx="953926" cy="877782"/>
          <a:chOff x="0" y="-52559"/>
          <a:chExt cx="946998" cy="878935"/>
        </a:xfrm>
      </xdr:grpSpPr>
      <xdr:sp macro="" textlink="">
        <xdr:nvSpPr>
          <xdr:cNvPr id="19" name="Rectangle">
            <a:extLst>
              <a:ext uri="{FF2B5EF4-FFF2-40B4-BE49-F238E27FC236}">
                <a16:creationId xmlns:a16="http://schemas.microsoft.com/office/drawing/2014/main" id="{00000000-0008-0000-0500-000013000000}"/>
              </a:ext>
            </a:extLst>
          </xdr:cNvPr>
          <xdr:cNvSpPr/>
        </xdr:nvSpPr>
        <xdr:spPr>
          <a:xfrm>
            <a:off x="0" y="0"/>
            <a:ext cx="946999" cy="600840"/>
          </a:xfrm>
          <a:prstGeom prst="rect">
            <a:avLst/>
          </a:prstGeom>
          <a:solidFill>
            <a:srgbClr val="93CDDD"/>
          </a:solidFill>
          <a:ln w="9525" cap="flat">
            <a:solidFill>
              <a:srgbClr val="000000"/>
            </a:solidFill>
            <a:prstDash val="solid"/>
            <a:round/>
          </a:ln>
          <a:effectLst/>
        </xdr:spPr>
        <xdr:txBody>
          <a:bodyPr/>
          <a:lstStyle/>
          <a:p>
            <a:endParaRPr/>
          </a:p>
        </xdr:txBody>
      </xdr:sp>
      <xdr:sp macro="" textlink="">
        <xdr:nvSpPr>
          <xdr:cNvPr id="20" name="ASIL C">
            <a:extLst>
              <a:ext uri="{FF2B5EF4-FFF2-40B4-BE49-F238E27FC236}">
                <a16:creationId xmlns:a16="http://schemas.microsoft.com/office/drawing/2014/main" id="{00000000-0008-0000-0500-000014000000}"/>
              </a:ext>
            </a:extLst>
          </xdr:cNvPr>
          <xdr:cNvSpPr txBox="1"/>
        </xdr:nvSpPr>
        <xdr:spPr>
          <a:xfrm>
            <a:off x="31432" y="-52560"/>
            <a:ext cx="884135" cy="878937"/>
          </a:xfrm>
          <a:prstGeom prst="rect">
            <a:avLst/>
          </a:prstGeom>
          <a:noFill/>
          <a:ln w="12700" cap="flat">
            <a:noFill/>
            <a:miter lim="400000"/>
          </a:ln>
          <a:effectLst/>
        </xdr:spPr>
        <xdr:txBody>
          <a:bodyPr wrap="square" lIns="45719" tIns="45719" rIns="45719" bIns="45719" numCol="1" anchor="t">
            <a:spAutoFit/>
          </a:bodyPr>
          <a:lstStyle/>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ASIL C</a:t>
            </a:r>
          </a:p>
        </xdr:txBody>
      </xdr:sp>
    </xdr:grpSp>
    <xdr:clientData/>
  </xdr:twoCellAnchor>
  <xdr:twoCellAnchor>
    <xdr:from>
      <xdr:col>31</xdr:col>
      <xdr:colOff>574886</xdr:colOff>
      <xdr:row>6</xdr:row>
      <xdr:rowOff>78495</xdr:rowOff>
    </xdr:from>
    <xdr:to>
      <xdr:col>33</xdr:col>
      <xdr:colOff>554293</xdr:colOff>
      <xdr:row>7</xdr:row>
      <xdr:rowOff>146722</xdr:rowOff>
    </xdr:to>
    <xdr:grpSp>
      <xdr:nvGrpSpPr>
        <xdr:cNvPr id="21" name="Rectangle 18">
          <a:extLst>
            <a:ext uri="{FF2B5EF4-FFF2-40B4-BE49-F238E27FC236}">
              <a16:creationId xmlns:a16="http://schemas.microsoft.com/office/drawing/2014/main" id="{00000000-0008-0000-0500-000015000000}"/>
            </a:ext>
          </a:extLst>
        </xdr:cNvPr>
        <xdr:cNvGrpSpPr/>
      </xdr:nvGrpSpPr>
      <xdr:grpSpPr>
        <a:xfrm>
          <a:off x="30572286" y="4917195"/>
          <a:ext cx="1325607" cy="563527"/>
          <a:chOff x="0" y="-26841"/>
          <a:chExt cx="1318679" cy="564681"/>
        </a:xfrm>
      </xdr:grpSpPr>
      <xdr:sp macro="" textlink="">
        <xdr:nvSpPr>
          <xdr:cNvPr id="22" name="Rectangle">
            <a:extLst>
              <a:ext uri="{FF2B5EF4-FFF2-40B4-BE49-F238E27FC236}">
                <a16:creationId xmlns:a16="http://schemas.microsoft.com/office/drawing/2014/main" id="{00000000-0008-0000-0500-000016000000}"/>
              </a:ext>
            </a:extLst>
          </xdr:cNvPr>
          <xdr:cNvSpPr/>
        </xdr:nvSpPr>
        <xdr:spPr>
          <a:xfrm>
            <a:off x="0" y="0"/>
            <a:ext cx="1318680" cy="537840"/>
          </a:xfrm>
          <a:prstGeom prst="rect">
            <a:avLst/>
          </a:prstGeom>
          <a:solidFill>
            <a:srgbClr val="93CDDD"/>
          </a:solidFill>
          <a:ln w="9525" cap="flat">
            <a:solidFill>
              <a:srgbClr val="000000"/>
            </a:solidFill>
            <a:prstDash val="solid"/>
            <a:round/>
          </a:ln>
          <a:effectLst/>
        </xdr:spPr>
        <xdr:txBody>
          <a:bodyPr/>
          <a:lstStyle/>
          <a:p>
            <a:endParaRPr/>
          </a:p>
        </xdr:txBody>
      </xdr:sp>
      <xdr:sp macro="" textlink="">
        <xdr:nvSpPr>
          <xdr:cNvPr id="23" name="QM(C)">
            <a:extLst>
              <a:ext uri="{FF2B5EF4-FFF2-40B4-BE49-F238E27FC236}">
                <a16:creationId xmlns:a16="http://schemas.microsoft.com/office/drawing/2014/main" id="{00000000-0008-0000-0500-000017000000}"/>
              </a:ext>
            </a:extLst>
          </xdr:cNvPr>
          <xdr:cNvSpPr txBox="1"/>
        </xdr:nvSpPr>
        <xdr:spPr>
          <a:xfrm>
            <a:off x="31432" y="-26842"/>
            <a:ext cx="1255816" cy="484601"/>
          </a:xfrm>
          <a:prstGeom prst="rect">
            <a:avLst/>
          </a:prstGeom>
          <a:noFill/>
          <a:ln w="12700" cap="flat">
            <a:noFill/>
            <a:miter lim="400000"/>
          </a:ln>
          <a:effectLst/>
        </xdr:spPr>
        <xdr:txBody>
          <a:bodyPr wrap="square" lIns="45719" tIns="45719" rIns="45719" bIns="45719" numCol="1" anchor="t">
            <a:spAutoFit/>
          </a:bodyPr>
          <a:lstStyle/>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QM(C)</a:t>
            </a:r>
          </a:p>
        </xdr:txBody>
      </xdr:sp>
    </xdr:grpSp>
    <xdr:clientData/>
  </xdr:twoCellAnchor>
  <xdr:twoCellAnchor>
    <xdr:from>
      <xdr:col>32</xdr:col>
      <xdr:colOff>87331</xdr:colOff>
      <xdr:row>9</xdr:row>
      <xdr:rowOff>18331</xdr:rowOff>
    </xdr:from>
    <xdr:to>
      <xdr:col>33</xdr:col>
      <xdr:colOff>544574</xdr:colOff>
      <xdr:row>10</xdr:row>
      <xdr:rowOff>67118</xdr:rowOff>
    </xdr:to>
    <xdr:grpSp>
      <xdr:nvGrpSpPr>
        <xdr:cNvPr id="24" name="Rectangle 19">
          <a:extLst>
            <a:ext uri="{FF2B5EF4-FFF2-40B4-BE49-F238E27FC236}">
              <a16:creationId xmlns:a16="http://schemas.microsoft.com/office/drawing/2014/main" id="{00000000-0008-0000-0500-000018000000}"/>
            </a:ext>
          </a:extLst>
        </xdr:cNvPr>
        <xdr:cNvGrpSpPr/>
      </xdr:nvGrpSpPr>
      <xdr:grpSpPr>
        <a:xfrm>
          <a:off x="30757831" y="6342931"/>
          <a:ext cx="1130343" cy="544087"/>
          <a:chOff x="0" y="-26841"/>
          <a:chExt cx="1126880" cy="545241"/>
        </a:xfrm>
      </xdr:grpSpPr>
      <xdr:sp macro="" textlink="">
        <xdr:nvSpPr>
          <xdr:cNvPr id="25" name="Rectangle">
            <a:extLst>
              <a:ext uri="{FF2B5EF4-FFF2-40B4-BE49-F238E27FC236}">
                <a16:creationId xmlns:a16="http://schemas.microsoft.com/office/drawing/2014/main" id="{00000000-0008-0000-0500-000019000000}"/>
              </a:ext>
            </a:extLst>
          </xdr:cNvPr>
          <xdr:cNvSpPr/>
        </xdr:nvSpPr>
        <xdr:spPr>
          <a:xfrm>
            <a:off x="-1" y="0"/>
            <a:ext cx="1126882" cy="518400"/>
          </a:xfrm>
          <a:prstGeom prst="rect">
            <a:avLst/>
          </a:prstGeom>
          <a:solidFill>
            <a:srgbClr val="93CDDD"/>
          </a:solidFill>
          <a:ln w="9525" cap="flat">
            <a:solidFill>
              <a:srgbClr val="000000"/>
            </a:solidFill>
            <a:prstDash val="solid"/>
            <a:round/>
          </a:ln>
          <a:effectLst/>
        </xdr:spPr>
        <xdr:txBody>
          <a:bodyPr/>
          <a:lstStyle/>
          <a:p>
            <a:endParaRPr/>
          </a:p>
        </xdr:txBody>
      </xdr:sp>
      <xdr:sp macro="" textlink="">
        <xdr:nvSpPr>
          <xdr:cNvPr id="26" name="C(C)">
            <a:extLst>
              <a:ext uri="{FF2B5EF4-FFF2-40B4-BE49-F238E27FC236}">
                <a16:creationId xmlns:a16="http://schemas.microsoft.com/office/drawing/2014/main" id="{00000000-0008-0000-0500-00001A000000}"/>
              </a:ext>
            </a:extLst>
          </xdr:cNvPr>
          <xdr:cNvSpPr txBox="1"/>
        </xdr:nvSpPr>
        <xdr:spPr>
          <a:xfrm>
            <a:off x="31432" y="-26842"/>
            <a:ext cx="1064016" cy="484601"/>
          </a:xfrm>
          <a:prstGeom prst="rect">
            <a:avLst/>
          </a:prstGeom>
          <a:noFill/>
          <a:ln w="12700" cap="flat">
            <a:noFill/>
            <a:miter lim="400000"/>
          </a:ln>
          <a:effectLst/>
        </xdr:spPr>
        <xdr:txBody>
          <a:bodyPr wrap="square" lIns="45719" tIns="45719" rIns="45719" bIns="45719" numCol="1" anchor="t">
            <a:spAutoFit/>
          </a:bodyPr>
          <a:lstStyle/>
          <a:p>
            <a:pPr marL="0" marR="0" indent="0" algn="l" defTabSz="914400" latinLnBrk="0">
              <a:lnSpc>
                <a:spcPct val="100000"/>
              </a:lnSpc>
              <a:spcBef>
                <a:spcPts val="0"/>
              </a:spcBef>
              <a:spcAft>
                <a:spcPts val="0"/>
              </a:spcAft>
              <a:buClrTx/>
              <a:buSzTx/>
              <a:buFontTx/>
              <a:buNone/>
              <a:def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defRPr>
            </a:pPr>
            <a:r>
              <a:rPr sz="2400" b="0" i="0" u="none" strike="noStrike" cap="none" spc="-1" baseline="0">
                <a:solidFill>
                  <a:srgbClr val="000000"/>
                </a:solidFill>
                <a:uFillTx/>
                <a:latin typeface="Times New Roman" panose="02020503050405090304" pitchFamily="12"/>
                <a:ea typeface="Times New Roman" panose="02020503050405090304" pitchFamily="12"/>
                <a:cs typeface="Times New Roman" panose="02020503050405090304" pitchFamily="12"/>
                <a:sym typeface="Times New Roman" panose="02020503050405090304" pitchFamily="12"/>
              </a:rPr>
              <a:t>C(C)</a:t>
            </a:r>
          </a:p>
        </xdr:txBody>
      </xdr:sp>
    </xdr:grpSp>
    <xdr:clientData/>
  </xdr:twoCellAnchor>
  <xdr:twoCellAnchor>
    <xdr:from>
      <xdr:col>31</xdr:col>
      <xdr:colOff>440406</xdr:colOff>
      <xdr:row>8</xdr:row>
      <xdr:rowOff>260106</xdr:rowOff>
    </xdr:from>
    <xdr:to>
      <xdr:col>32</xdr:col>
      <xdr:colOff>37730</xdr:colOff>
      <xdr:row>9</xdr:row>
      <xdr:rowOff>316252</xdr:rowOff>
    </xdr:to>
    <xdr:sp macro="" textlink="">
      <xdr:nvSpPr>
        <xdr:cNvPr id="27" name="Straight Arrow Connector 23">
          <a:extLst>
            <a:ext uri="{FF2B5EF4-FFF2-40B4-BE49-F238E27FC236}">
              <a16:creationId xmlns:a16="http://schemas.microsoft.com/office/drawing/2014/main" id="{00000000-0008-0000-0500-00001B000000}"/>
            </a:ext>
          </a:extLst>
        </xdr:cNvPr>
        <xdr:cNvSpPr/>
      </xdr:nvSpPr>
      <xdr:spPr>
        <a:xfrm>
          <a:off x="28430855" y="6246495"/>
          <a:ext cx="225425" cy="551815"/>
        </a:xfrm>
        <a:prstGeom prst="line">
          <a:avLst/>
        </a:prstGeom>
        <a:noFill/>
        <a:ln w="9525" cap="flat">
          <a:solidFill>
            <a:srgbClr val="000000"/>
          </a:solidFill>
          <a:prstDash val="solid"/>
          <a:round/>
          <a:tailEnd type="triangle" w="med" len="med"/>
        </a:ln>
        <a:effectLst/>
      </xdr:spPr>
      <xdr:txBody>
        <a:bodyPr/>
        <a:lstStyle/>
        <a:p>
          <a:endParaRPr/>
        </a:p>
      </xdr:txBody>
    </xdr:sp>
    <xdr:clientData/>
  </xdr:twoCellAnchor>
</xdr:wsDr>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noFill/>
          <a:miter lim="400000"/>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showGridLines="0" workbookViewId="0">
      <selection activeCell="K5" sqref="K5"/>
    </sheetView>
  </sheetViews>
  <sheetFormatPr baseColWidth="10" defaultColWidth="6.6640625" defaultRowHeight="12.75" customHeight="1"/>
  <cols>
    <col min="1" max="1" width="10.33203125" style="129" customWidth="1"/>
    <col min="2" max="2" width="11.83203125" style="129" customWidth="1"/>
    <col min="3" max="3" width="7.83203125" style="129" customWidth="1"/>
    <col min="4" max="4" width="6" style="129" customWidth="1"/>
    <col min="5" max="5" width="20.1640625" style="129" customWidth="1"/>
    <col min="6" max="6" width="1.83203125" style="129" customWidth="1"/>
    <col min="7" max="7" width="10" style="129" customWidth="1"/>
    <col min="8" max="8" width="6.6640625" style="129" customWidth="1"/>
    <col min="9" max="16384" width="6.6640625" style="129"/>
  </cols>
  <sheetData>
    <row r="1" spans="1:7" ht="27" customHeight="1">
      <c r="A1" s="130"/>
      <c r="B1" s="131"/>
      <c r="C1" s="131"/>
      <c r="D1" s="131"/>
      <c r="E1" s="181"/>
      <c r="F1" s="181"/>
      <c r="G1" s="182"/>
    </row>
    <row r="2" spans="1:7" ht="45" customHeight="1">
      <c r="A2" s="132"/>
      <c r="B2" s="133"/>
      <c r="C2" s="133"/>
      <c r="D2" s="133"/>
      <c r="E2" s="183" t="s">
        <v>0</v>
      </c>
      <c r="F2" s="184"/>
      <c r="G2" s="185"/>
    </row>
    <row r="3" spans="1:7" ht="120" customHeight="1">
      <c r="A3" s="186" t="s">
        <v>1</v>
      </c>
      <c r="B3" s="187"/>
      <c r="C3" s="187"/>
      <c r="D3" s="187"/>
      <c r="E3" s="187"/>
      <c r="F3" s="187"/>
      <c r="G3" s="188"/>
    </row>
    <row r="4" spans="1:7" ht="23" customHeight="1">
      <c r="A4" s="189"/>
      <c r="B4" s="190"/>
      <c r="C4" s="190"/>
      <c r="D4" s="190"/>
      <c r="E4" s="190"/>
      <c r="F4" s="190"/>
      <c r="G4" s="191"/>
    </row>
    <row r="5" spans="1:7" ht="15" customHeight="1">
      <c r="A5" s="192"/>
      <c r="B5" s="193"/>
      <c r="C5" s="193"/>
      <c r="D5" s="193"/>
      <c r="E5" s="193"/>
      <c r="F5" s="193"/>
      <c r="G5" s="194"/>
    </row>
    <row r="6" spans="1:7" ht="33.75" customHeight="1">
      <c r="A6" s="134"/>
      <c r="B6" s="135" t="s">
        <v>2</v>
      </c>
      <c r="C6" s="136"/>
      <c r="D6" s="136"/>
      <c r="E6" s="155"/>
      <c r="F6" s="155"/>
      <c r="G6" s="156"/>
    </row>
    <row r="7" spans="1:7" ht="30" customHeight="1">
      <c r="A7" s="134"/>
      <c r="B7" s="135" t="s">
        <v>3</v>
      </c>
      <c r="C7" s="136"/>
      <c r="D7" s="136"/>
      <c r="E7" s="155"/>
      <c r="F7" s="155"/>
      <c r="G7" s="156"/>
    </row>
    <row r="8" spans="1:7" ht="15.25" customHeight="1">
      <c r="A8" s="137"/>
      <c r="B8" s="138"/>
      <c r="C8" s="139"/>
      <c r="D8" s="140"/>
      <c r="E8" s="157"/>
      <c r="F8" s="158"/>
      <c r="G8" s="159"/>
    </row>
    <row r="9" spans="1:7" ht="15.25" customHeight="1">
      <c r="A9" s="137"/>
      <c r="B9" s="138"/>
      <c r="C9" s="138"/>
      <c r="D9" s="138"/>
      <c r="E9" s="157"/>
      <c r="F9" s="158"/>
      <c r="G9" s="159"/>
    </row>
    <row r="10" spans="1:7" ht="31.5" customHeight="1">
      <c r="A10" s="137"/>
      <c r="B10" s="135" t="s">
        <v>4</v>
      </c>
      <c r="C10" s="141"/>
      <c r="D10" s="135" t="s">
        <v>5</v>
      </c>
      <c r="E10" s="160" t="s">
        <v>6</v>
      </c>
      <c r="F10" s="161"/>
      <c r="G10" s="162"/>
    </row>
    <row r="11" spans="1:7" ht="15.25" customHeight="1">
      <c r="A11" s="142"/>
      <c r="B11" s="141"/>
      <c r="C11" s="143"/>
      <c r="D11" s="143"/>
      <c r="E11" s="143"/>
      <c r="F11" s="163"/>
      <c r="G11" s="164"/>
    </row>
    <row r="12" spans="1:7" ht="15.25" customHeight="1">
      <c r="A12" s="144"/>
      <c r="B12" s="145"/>
      <c r="C12" s="145"/>
      <c r="D12" s="143"/>
      <c r="E12" s="145"/>
      <c r="F12" s="163"/>
      <c r="G12" s="164"/>
    </row>
    <row r="13" spans="1:7" ht="31.5" customHeight="1">
      <c r="A13" s="144"/>
      <c r="B13" s="135" t="s">
        <v>7</v>
      </c>
      <c r="C13" s="146"/>
      <c r="D13" s="135" t="s">
        <v>5</v>
      </c>
      <c r="E13" s="160" t="s">
        <v>8</v>
      </c>
      <c r="F13" s="165"/>
      <c r="G13" s="166"/>
    </row>
    <row r="14" spans="1:7" ht="15.25" customHeight="1">
      <c r="A14" s="147"/>
      <c r="B14" s="141"/>
      <c r="C14" s="141"/>
      <c r="D14" s="143"/>
      <c r="E14" s="148"/>
      <c r="F14" s="165"/>
      <c r="G14" s="166"/>
    </row>
    <row r="15" spans="1:7" ht="15.25" customHeight="1">
      <c r="A15" s="147"/>
      <c r="B15" s="148"/>
      <c r="C15" s="148"/>
      <c r="D15" s="145"/>
      <c r="E15" s="148"/>
      <c r="F15" s="165"/>
      <c r="G15" s="166"/>
    </row>
    <row r="16" spans="1:7" ht="31.25" customHeight="1">
      <c r="A16" s="147"/>
      <c r="B16" s="135" t="s">
        <v>9</v>
      </c>
      <c r="C16" s="141"/>
      <c r="D16" s="135" t="s">
        <v>5</v>
      </c>
      <c r="E16" s="167"/>
      <c r="F16" s="165"/>
      <c r="G16" s="166"/>
    </row>
    <row r="17" spans="1:7" ht="15.25" customHeight="1">
      <c r="A17" s="147"/>
      <c r="B17" s="149"/>
      <c r="C17" s="150"/>
      <c r="D17" s="150"/>
      <c r="E17" s="175"/>
      <c r="F17" s="175"/>
      <c r="G17" s="176"/>
    </row>
    <row r="18" spans="1:7" ht="23.5" customHeight="1">
      <c r="A18" s="147"/>
      <c r="B18" s="151"/>
      <c r="C18" s="151"/>
      <c r="D18" s="151"/>
      <c r="E18" s="177"/>
      <c r="F18" s="177"/>
      <c r="G18" s="178"/>
    </row>
    <row r="19" spans="1:7" ht="23.5" customHeight="1">
      <c r="A19" s="144"/>
      <c r="B19" s="151"/>
      <c r="C19" s="151"/>
      <c r="D19" s="151"/>
      <c r="E19" s="179"/>
      <c r="F19" s="179"/>
      <c r="G19" s="180"/>
    </row>
    <row r="20" spans="1:7" ht="23.5" customHeight="1">
      <c r="A20" s="144"/>
      <c r="B20" s="151"/>
      <c r="C20" s="151"/>
      <c r="D20" s="151"/>
      <c r="E20" s="163"/>
      <c r="F20" s="163"/>
      <c r="G20" s="164"/>
    </row>
    <row r="21" spans="1:7" ht="23.5" customHeight="1">
      <c r="A21" s="152"/>
      <c r="B21" s="151"/>
      <c r="C21" s="151"/>
      <c r="D21" s="151"/>
      <c r="E21" s="168"/>
      <c r="F21" s="168"/>
      <c r="G21" s="169"/>
    </row>
    <row r="22" spans="1:7" ht="15.75" customHeight="1">
      <c r="A22" s="152"/>
      <c r="B22" s="151"/>
      <c r="C22" s="151"/>
      <c r="D22" s="151"/>
      <c r="E22" s="179"/>
      <c r="F22" s="179"/>
      <c r="G22" s="180"/>
    </row>
    <row r="23" spans="1:7" ht="23.5" customHeight="1">
      <c r="A23" s="153"/>
      <c r="B23" s="154"/>
      <c r="C23" s="154"/>
      <c r="D23" s="154"/>
      <c r="E23" s="170"/>
      <c r="F23" s="170"/>
      <c r="G23" s="171"/>
    </row>
  </sheetData>
  <mergeCells count="9">
    <mergeCell ref="E17:G17"/>
    <mergeCell ref="E18:G18"/>
    <mergeCell ref="E19:G19"/>
    <mergeCell ref="E22:G22"/>
    <mergeCell ref="E1:G1"/>
    <mergeCell ref="E2:G2"/>
    <mergeCell ref="A3:G3"/>
    <mergeCell ref="A4:G4"/>
    <mergeCell ref="A5:G5"/>
  </mergeCells>
  <pageMargins left="0.70833299999999999" right="0.70833299999999999" top="0.74791700000000005" bottom="0.74791700000000005" header="0.51181100000000002" footer="0.315278"/>
  <pageSetup orientation="portrait"/>
  <headerFooter>
    <oddFooter>&amp;R&amp;"SimSun,Regular"&amp;10&amp;K000000信息等级：C(内部文件）
Information Level:C(Internal)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election activeCell="L11" sqref="L11"/>
    </sheetView>
  </sheetViews>
  <sheetFormatPr baseColWidth="10" defaultColWidth="6" defaultRowHeight="14.25" customHeight="1"/>
  <cols>
    <col min="1" max="1" width="7.5" style="1" customWidth="1"/>
    <col min="2" max="2" width="8.83203125" style="1" customWidth="1"/>
    <col min="3" max="3" width="6.6640625" style="1" customWidth="1"/>
    <col min="4" max="4" width="10.5" style="1" customWidth="1"/>
    <col min="5" max="5" width="8.6640625" style="1" customWidth="1"/>
    <col min="6" max="6" width="12.6640625" style="1" customWidth="1"/>
    <col min="7" max="7" width="10.5" style="1" customWidth="1"/>
    <col min="8" max="8" width="6" style="1" customWidth="1"/>
    <col min="9" max="16384" width="6" style="1"/>
  </cols>
  <sheetData>
    <row r="1" spans="1:7" ht="33.75" customHeight="1">
      <c r="A1" s="197" t="s">
        <v>10</v>
      </c>
      <c r="B1" s="198"/>
      <c r="C1" s="198"/>
      <c r="D1" s="198"/>
      <c r="E1" s="198"/>
      <c r="F1" s="198"/>
      <c r="G1" s="198"/>
    </row>
    <row r="2" spans="1:7" ht="14.25" customHeight="1">
      <c r="A2" s="198"/>
      <c r="B2" s="198"/>
      <c r="C2" s="198"/>
      <c r="D2" s="198"/>
      <c r="E2" s="198"/>
      <c r="F2" s="198"/>
      <c r="G2" s="198"/>
    </row>
    <row r="3" spans="1:7" ht="35" customHeight="1">
      <c r="A3" s="2" t="s">
        <v>11</v>
      </c>
      <c r="B3" s="2" t="s">
        <v>12</v>
      </c>
      <c r="C3" s="2" t="s">
        <v>13</v>
      </c>
      <c r="D3" s="2" t="s">
        <v>14</v>
      </c>
      <c r="E3" s="14" t="s">
        <v>15</v>
      </c>
      <c r="F3" s="14" t="s">
        <v>16</v>
      </c>
      <c r="G3" s="15" t="s">
        <v>17</v>
      </c>
    </row>
    <row r="4" spans="1:7" ht="26.75" customHeight="1">
      <c r="A4" s="3" t="s">
        <v>18</v>
      </c>
      <c r="B4" s="3" t="s">
        <v>19</v>
      </c>
      <c r="C4" s="4"/>
      <c r="D4" s="3" t="s">
        <v>20</v>
      </c>
      <c r="E4" s="9"/>
      <c r="F4" s="9"/>
      <c r="G4" s="16" t="s">
        <v>21</v>
      </c>
    </row>
    <row r="5" spans="1:7" ht="13.5" customHeight="1">
      <c r="A5" s="3" t="s">
        <v>22</v>
      </c>
      <c r="B5" s="3" t="s">
        <v>23</v>
      </c>
      <c r="C5" s="4"/>
      <c r="D5" s="3" t="s">
        <v>6</v>
      </c>
      <c r="E5" s="17"/>
      <c r="F5" s="18" t="s">
        <v>8</v>
      </c>
      <c r="G5" s="16" t="s">
        <v>24</v>
      </c>
    </row>
    <row r="6" spans="1:7" ht="14.25" customHeight="1">
      <c r="A6" s="5"/>
      <c r="B6" s="6"/>
      <c r="C6" s="7"/>
      <c r="D6" s="8"/>
      <c r="E6" s="19"/>
      <c r="F6" s="19"/>
      <c r="G6" s="19"/>
    </row>
    <row r="7" spans="1:7" ht="14.25" customHeight="1">
      <c r="A7" s="5"/>
      <c r="B7" s="6"/>
      <c r="C7" s="9"/>
      <c r="D7" s="8"/>
      <c r="E7" s="19"/>
      <c r="F7" s="19"/>
      <c r="G7" s="19"/>
    </row>
    <row r="8" spans="1:7" ht="14.25" customHeight="1">
      <c r="A8" s="5"/>
      <c r="B8" s="6"/>
      <c r="C8" s="9"/>
      <c r="D8" s="8"/>
      <c r="E8" s="19"/>
      <c r="F8" s="19"/>
      <c r="G8" s="19"/>
    </row>
    <row r="9" spans="1:7" ht="14.25" customHeight="1">
      <c r="A9" s="5"/>
      <c r="B9" s="6"/>
      <c r="C9" s="9"/>
      <c r="D9" s="8"/>
      <c r="E9" s="19"/>
      <c r="F9" s="19"/>
      <c r="G9" s="19"/>
    </row>
    <row r="10" spans="1:7" ht="14.25" customHeight="1">
      <c r="A10" s="5"/>
      <c r="B10" s="6"/>
      <c r="C10" s="9"/>
      <c r="D10" s="8"/>
      <c r="E10" s="19"/>
      <c r="F10" s="19"/>
      <c r="G10" s="19"/>
    </row>
    <row r="11" spans="1:7" ht="14.25" customHeight="1">
      <c r="A11" s="5"/>
      <c r="B11" s="6"/>
      <c r="C11" s="9"/>
      <c r="D11" s="8"/>
      <c r="E11" s="19"/>
      <c r="F11" s="19"/>
      <c r="G11" s="19"/>
    </row>
    <row r="12" spans="1:7" ht="14.25" customHeight="1">
      <c r="A12" s="5"/>
      <c r="B12" s="6"/>
      <c r="C12" s="9"/>
      <c r="D12" s="8"/>
      <c r="E12" s="19"/>
      <c r="F12" s="19"/>
      <c r="G12" s="19"/>
    </row>
    <row r="13" spans="1:7" ht="14.25" customHeight="1">
      <c r="A13" s="5"/>
      <c r="B13" s="6"/>
      <c r="C13" s="9"/>
      <c r="D13" s="8"/>
      <c r="E13" s="19"/>
      <c r="F13" s="19"/>
      <c r="G13" s="19"/>
    </row>
    <row r="14" spans="1:7" ht="14.25" customHeight="1">
      <c r="A14" s="5"/>
      <c r="B14" s="6"/>
      <c r="C14" s="9"/>
      <c r="D14" s="8"/>
      <c r="E14" s="19"/>
      <c r="F14" s="19"/>
      <c r="G14" s="19"/>
    </row>
    <row r="15" spans="1:7" ht="14.25" customHeight="1">
      <c r="A15" s="5"/>
      <c r="B15" s="6"/>
      <c r="C15" s="9"/>
      <c r="D15" s="8"/>
      <c r="E15" s="19"/>
      <c r="F15" s="19"/>
      <c r="G15" s="19"/>
    </row>
    <row r="16" spans="1:7" ht="14.25" customHeight="1">
      <c r="A16" s="5"/>
      <c r="B16" s="6"/>
      <c r="C16" s="9"/>
      <c r="D16" s="8"/>
      <c r="E16" s="19"/>
      <c r="F16" s="19"/>
      <c r="G16" s="19"/>
    </row>
    <row r="17" spans="1:7" ht="14.25" customHeight="1">
      <c r="A17" s="5"/>
      <c r="B17" s="6"/>
      <c r="C17" s="9"/>
      <c r="D17" s="8"/>
      <c r="E17" s="19"/>
      <c r="F17" s="19"/>
      <c r="G17" s="19"/>
    </row>
    <row r="18" spans="1:7" ht="14.25" customHeight="1">
      <c r="A18" s="5"/>
      <c r="B18" s="6"/>
      <c r="C18" s="9"/>
      <c r="D18" s="8"/>
      <c r="E18" s="19"/>
      <c r="F18" s="19"/>
      <c r="G18" s="19"/>
    </row>
    <row r="19" spans="1:7" ht="14.25" customHeight="1">
      <c r="A19" s="5"/>
      <c r="B19" s="6"/>
      <c r="C19" s="9"/>
      <c r="D19" s="8"/>
      <c r="E19" s="19"/>
      <c r="F19" s="19"/>
      <c r="G19" s="19"/>
    </row>
    <row r="20" spans="1:7" ht="14.25" customHeight="1">
      <c r="A20" s="5"/>
      <c r="B20" s="6"/>
      <c r="C20" s="9"/>
      <c r="D20" s="8"/>
      <c r="E20" s="19"/>
      <c r="F20" s="19"/>
      <c r="G20" s="19"/>
    </row>
    <row r="21" spans="1:7" ht="14.25" customHeight="1">
      <c r="A21" s="5"/>
      <c r="B21" s="6"/>
      <c r="C21" s="9"/>
      <c r="D21" s="8"/>
      <c r="E21" s="19"/>
      <c r="F21" s="19"/>
      <c r="G21" s="19"/>
    </row>
    <row r="22" spans="1:7" ht="14.25" customHeight="1">
      <c r="A22" s="5"/>
      <c r="B22" s="6"/>
      <c r="C22" s="9"/>
      <c r="D22" s="8"/>
      <c r="E22" s="19"/>
      <c r="F22" s="19"/>
      <c r="G22" s="19"/>
    </row>
    <row r="23" spans="1:7" ht="14.25" customHeight="1">
      <c r="A23" s="5"/>
      <c r="B23" s="6"/>
      <c r="C23" s="9"/>
      <c r="D23" s="8"/>
      <c r="E23" s="19"/>
      <c r="F23" s="19"/>
      <c r="G23" s="19"/>
    </row>
    <row r="24" spans="1:7" ht="14.25" customHeight="1">
      <c r="A24" s="5"/>
      <c r="B24" s="6"/>
      <c r="C24" s="9"/>
      <c r="D24" s="8"/>
      <c r="E24" s="19"/>
      <c r="F24" s="19"/>
      <c r="G24" s="19"/>
    </row>
    <row r="25" spans="1:7" ht="14.25" customHeight="1">
      <c r="A25" s="5"/>
      <c r="B25" s="6"/>
      <c r="C25" s="9"/>
      <c r="D25" s="8"/>
      <c r="E25" s="19"/>
      <c r="F25" s="19"/>
      <c r="G25" s="19"/>
    </row>
    <row r="26" spans="1:7" ht="14.25" customHeight="1">
      <c r="A26" s="10"/>
      <c r="B26" s="11"/>
      <c r="C26" s="12"/>
      <c r="D26" s="13"/>
      <c r="E26" s="20"/>
      <c r="F26" s="20"/>
      <c r="G26" s="21"/>
    </row>
    <row r="27" spans="1:7" ht="15" customHeight="1">
      <c r="A27" s="195" t="s">
        <v>25</v>
      </c>
      <c r="B27" s="196"/>
      <c r="C27" s="196"/>
      <c r="D27" s="196"/>
      <c r="E27" s="196"/>
      <c r="F27" s="22"/>
      <c r="G27" s="23"/>
    </row>
  </sheetData>
  <mergeCells count="2">
    <mergeCell ref="A27:E27"/>
    <mergeCell ref="A1:G2"/>
  </mergeCells>
  <pageMargins left="0.70833299999999999" right="0.70833299999999999" top="0.74791700000000005" bottom="0.74861100000000003" header="0.51181100000000002" footer="0.315278"/>
  <pageSetup orientation="portrait"/>
  <headerFooter>
    <oddFooter>&amp;L&amp;"SimSun,Regular"&amp;11&amp;K000000状态：批准
Status:Approval&amp;R&amp;"SimSun,Regular"&amp;11&amp;K000000信息等级：C(内部文件）
Information Level:C(Internal)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7"/>
  <sheetViews>
    <sheetView showGridLines="0" workbookViewId="0">
      <selection activeCell="J14" sqref="J14"/>
    </sheetView>
  </sheetViews>
  <sheetFormatPr baseColWidth="10" defaultColWidth="6.6640625" defaultRowHeight="12" customHeight="1"/>
  <cols>
    <col min="1" max="1" width="4.5" style="1" customWidth="1"/>
    <col min="2" max="2" width="4" style="1" customWidth="1"/>
    <col min="3" max="3" width="28.83203125" style="1" customWidth="1"/>
    <col min="4" max="4" width="18.6640625" style="1" customWidth="1"/>
    <col min="5" max="5" width="12.33203125" style="1" customWidth="1"/>
    <col min="6" max="6" width="6.6640625" style="1" customWidth="1"/>
    <col min="7" max="16384" width="6.6640625" style="1"/>
  </cols>
  <sheetData>
    <row r="1" spans="1:5" ht="35.25" customHeight="1">
      <c r="A1" s="199" t="s">
        <v>26</v>
      </c>
      <c r="B1" s="200"/>
      <c r="C1" s="200"/>
      <c r="D1" s="200"/>
      <c r="E1" s="201"/>
    </row>
    <row r="2" spans="1:5" ht="14.25" customHeight="1">
      <c r="A2" s="103" t="s">
        <v>27</v>
      </c>
      <c r="B2" s="104"/>
      <c r="C2" s="105"/>
      <c r="D2" s="105"/>
      <c r="E2" s="105"/>
    </row>
    <row r="3" spans="1:5" ht="31.5" customHeight="1">
      <c r="A3" s="106"/>
      <c r="B3" s="202" t="s">
        <v>28</v>
      </c>
      <c r="C3" s="203"/>
      <c r="D3" s="203"/>
      <c r="E3" s="204"/>
    </row>
    <row r="4" spans="1:5" ht="31.5" customHeight="1">
      <c r="A4" s="106"/>
      <c r="B4" s="204"/>
      <c r="C4" s="203"/>
      <c r="D4" s="203"/>
      <c r="E4" s="204"/>
    </row>
    <row r="5" spans="1:5" ht="19.5" customHeight="1">
      <c r="A5" s="106"/>
      <c r="B5" s="204"/>
      <c r="C5" s="203"/>
      <c r="D5" s="203"/>
      <c r="E5" s="204"/>
    </row>
    <row r="6" spans="1:5" ht="12" customHeight="1">
      <c r="A6" s="107"/>
      <c r="B6" s="108"/>
      <c r="C6" s="109"/>
      <c r="D6" s="109"/>
      <c r="E6" s="109"/>
    </row>
    <row r="7" spans="1:5" ht="19.5" customHeight="1">
      <c r="A7" s="110" t="s">
        <v>29</v>
      </c>
      <c r="B7" s="111"/>
      <c r="C7" s="112"/>
      <c r="D7" s="112"/>
      <c r="E7" s="112"/>
    </row>
    <row r="8" spans="1:5" ht="36" customHeight="1">
      <c r="A8" s="106"/>
      <c r="B8" s="113" t="s">
        <v>30</v>
      </c>
      <c r="C8" s="113" t="s">
        <v>31</v>
      </c>
      <c r="D8" s="113" t="s">
        <v>32</v>
      </c>
      <c r="E8" s="113" t="s">
        <v>33</v>
      </c>
    </row>
    <row r="9" spans="1:5" ht="39" customHeight="1">
      <c r="A9" s="106"/>
      <c r="B9" s="4">
        <v>1</v>
      </c>
      <c r="C9" s="18" t="s">
        <v>34</v>
      </c>
      <c r="D9" s="3" t="s">
        <v>22</v>
      </c>
      <c r="E9" s="3" t="s">
        <v>35</v>
      </c>
    </row>
    <row r="10" spans="1:5" ht="39" customHeight="1">
      <c r="A10" s="106"/>
      <c r="B10" s="4">
        <v>2</v>
      </c>
      <c r="C10" s="18" t="s">
        <v>36</v>
      </c>
      <c r="D10" s="3" t="s">
        <v>22</v>
      </c>
      <c r="E10" s="3" t="s">
        <v>35</v>
      </c>
    </row>
    <row r="11" spans="1:5" ht="39" customHeight="1">
      <c r="A11" s="106"/>
      <c r="B11" s="4">
        <v>3</v>
      </c>
      <c r="C11" s="18" t="s">
        <v>37</v>
      </c>
      <c r="D11" s="3" t="s">
        <v>22</v>
      </c>
      <c r="E11" s="3" t="s">
        <v>35</v>
      </c>
    </row>
    <row r="12" spans="1:5" ht="19.5" customHeight="1">
      <c r="A12" s="107"/>
      <c r="B12" s="108"/>
      <c r="C12" s="109"/>
      <c r="D12" s="109"/>
      <c r="E12" s="109"/>
    </row>
    <row r="13" spans="1:5" ht="19.5" customHeight="1">
      <c r="A13" s="110" t="s">
        <v>38</v>
      </c>
      <c r="B13" s="111"/>
      <c r="C13" s="112"/>
      <c r="D13" s="112"/>
      <c r="E13" s="112"/>
    </row>
    <row r="14" spans="1:5" ht="36" customHeight="1">
      <c r="A14" s="106"/>
      <c r="B14" s="113" t="s">
        <v>30</v>
      </c>
      <c r="C14" s="113" t="s">
        <v>31</v>
      </c>
      <c r="D14" s="113" t="s">
        <v>32</v>
      </c>
      <c r="E14" s="113" t="s">
        <v>33</v>
      </c>
    </row>
    <row r="15" spans="1:5" ht="13.75" customHeight="1">
      <c r="A15" s="106"/>
      <c r="B15" s="4">
        <v>1</v>
      </c>
      <c r="C15" s="114" t="s">
        <v>39</v>
      </c>
      <c r="D15" s="3" t="s">
        <v>22</v>
      </c>
      <c r="E15" s="3" t="s">
        <v>35</v>
      </c>
    </row>
    <row r="16" spans="1:5" ht="26.75" customHeight="1">
      <c r="A16" s="106"/>
      <c r="B16" s="4">
        <v>2</v>
      </c>
      <c r="C16" s="18" t="s">
        <v>40</v>
      </c>
      <c r="D16" s="115" t="s">
        <v>41</v>
      </c>
      <c r="E16" s="115" t="s">
        <v>42</v>
      </c>
    </row>
    <row r="17" spans="1:5" ht="39.75" customHeight="1">
      <c r="A17" s="106"/>
      <c r="B17" s="4">
        <v>3</v>
      </c>
      <c r="C17" s="18" t="s">
        <v>43</v>
      </c>
      <c r="D17" s="115" t="s">
        <v>41</v>
      </c>
      <c r="E17" s="115" t="s">
        <v>42</v>
      </c>
    </row>
    <row r="18" spans="1:5" ht="14.25" customHeight="1">
      <c r="A18" s="107"/>
      <c r="B18" s="116"/>
      <c r="C18" s="116"/>
      <c r="D18" s="116"/>
      <c r="E18" s="116"/>
    </row>
    <row r="19" spans="1:5" ht="19.5" customHeight="1">
      <c r="A19" s="107"/>
      <c r="B19" s="117"/>
      <c r="C19" s="107"/>
      <c r="D19" s="107"/>
      <c r="E19" s="107"/>
    </row>
    <row r="20" spans="1:5" ht="19.5" customHeight="1">
      <c r="A20" s="110" t="s">
        <v>44</v>
      </c>
      <c r="B20" s="111"/>
      <c r="C20" s="112"/>
      <c r="D20" s="112"/>
      <c r="E20" s="107"/>
    </row>
    <row r="21" spans="1:5" ht="36" customHeight="1">
      <c r="A21" s="106"/>
      <c r="B21" s="113" t="s">
        <v>30</v>
      </c>
      <c r="C21" s="113" t="s">
        <v>45</v>
      </c>
      <c r="D21" s="113" t="s">
        <v>46</v>
      </c>
      <c r="E21" s="126"/>
    </row>
    <row r="22" spans="1:5" ht="29.25" customHeight="1">
      <c r="A22" s="106"/>
      <c r="B22" s="4">
        <v>1</v>
      </c>
      <c r="C22" s="118" t="s">
        <v>47</v>
      </c>
      <c r="D22" s="119" t="s">
        <v>48</v>
      </c>
      <c r="E22" s="126"/>
    </row>
    <row r="23" spans="1:5" ht="28.5" customHeight="1">
      <c r="A23" s="120"/>
      <c r="B23" s="121">
        <v>2</v>
      </c>
      <c r="C23" s="122" t="s">
        <v>49</v>
      </c>
      <c r="D23" s="123" t="s">
        <v>50</v>
      </c>
      <c r="E23" s="127"/>
    </row>
    <row r="24" spans="1:5" ht="28.5" customHeight="1">
      <c r="A24" s="120"/>
      <c r="B24" s="4">
        <v>3</v>
      </c>
      <c r="C24" s="3" t="s">
        <v>51</v>
      </c>
      <c r="D24" s="114" t="s">
        <v>52</v>
      </c>
      <c r="E24" s="128"/>
    </row>
    <row r="25" spans="1:5" ht="28.5" customHeight="1">
      <c r="A25" s="120"/>
      <c r="B25" s="4">
        <v>4</v>
      </c>
      <c r="C25" s="3" t="s">
        <v>53</v>
      </c>
      <c r="D25" s="114" t="s">
        <v>54</v>
      </c>
      <c r="E25" s="128"/>
    </row>
    <row r="26" spans="1:5" ht="24" customHeight="1">
      <c r="A26" s="120"/>
      <c r="B26" s="7">
        <v>5</v>
      </c>
      <c r="C26" s="124" t="s">
        <v>55</v>
      </c>
      <c r="D26" s="125" t="s">
        <v>56</v>
      </c>
      <c r="E26" s="128"/>
    </row>
    <row r="27" spans="1:5" ht="24" customHeight="1">
      <c r="A27" s="120"/>
      <c r="B27" s="7">
        <v>6</v>
      </c>
      <c r="C27" s="124" t="s">
        <v>57</v>
      </c>
      <c r="D27" s="125" t="s">
        <v>58</v>
      </c>
      <c r="E27" s="128"/>
    </row>
  </sheetData>
  <mergeCells count="2">
    <mergeCell ref="A1:E1"/>
    <mergeCell ref="B3:E5"/>
  </mergeCells>
  <conditionalFormatting sqref="E23:E27">
    <cfRule type="cellIs" dxfId="20" priority="1" stopIfTrue="1" operator="equal">
      <formula>"待确认"</formula>
    </cfRule>
    <cfRule type="cellIs" dxfId="19" priority="2" stopIfTrue="1" operator="equal">
      <formula>"无法测试"</formula>
    </cfRule>
    <cfRule type="cellIs" dxfId="18" priority="3" stopIfTrue="1" operator="equal">
      <formula>"不涉及"</formula>
    </cfRule>
    <cfRule type="cellIs" dxfId="17" priority="4" stopIfTrue="1" operator="equal">
      <formula>"未评审"</formula>
    </cfRule>
    <cfRule type="cellIs" dxfId="16" priority="5" stopIfTrue="1" operator="equal">
      <formula>"已评审"</formula>
    </cfRule>
  </conditionalFormatting>
  <dataValidations count="1">
    <dataValidation type="list" allowBlank="1" showInputMessage="1" showErrorMessage="1" sqref="E23:E27" xr:uid="{00000000-0002-0000-0200-000000000000}">
      <formula1>"已评审,未评审,不涉及,无法测试,待确认"</formula1>
    </dataValidation>
  </dataValidations>
  <pageMargins left="0.23611099999999999" right="0.157639" top="0.315278" bottom="0.27569399999999999" header="0.51181100000000002" footer="0.315278"/>
  <pageSetup orientation="portrait"/>
  <headerFooter>
    <oddFooter>&amp;L&amp;"SimSun,Regular"&amp;11&amp;K000000状态：批准
Status:Approval&amp;R&amp;"SimSun,Regular"&amp;11&amp;K000000信息等级：C(内部文件）
Information Level:C(Internal)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34"/>
  <sheetViews>
    <sheetView showGridLines="0" zoomScale="86" zoomScaleNormal="77" workbookViewId="0">
      <selection activeCell="C32" sqref="C32"/>
    </sheetView>
  </sheetViews>
  <sheetFormatPr baseColWidth="10" defaultColWidth="10" defaultRowHeight="16" customHeight="1"/>
  <cols>
    <col min="1" max="1" width="6.6640625" style="87" customWidth="1"/>
    <col min="2" max="2" width="25.1640625" style="87" customWidth="1"/>
    <col min="3" max="3" width="45.6640625" style="87" customWidth="1"/>
    <col min="4" max="4" width="28.6640625" style="87" customWidth="1"/>
    <col min="5" max="5" width="20.6640625" style="87" customWidth="1"/>
    <col min="6" max="6" width="16" style="87" customWidth="1"/>
    <col min="7" max="7" width="18" style="87" customWidth="1"/>
    <col min="8" max="8" width="10" style="87" customWidth="1"/>
    <col min="9" max="16384" width="10" style="87"/>
  </cols>
  <sheetData>
    <row r="1" spans="1:11" ht="35.25" customHeight="1">
      <c r="A1" s="205" t="s">
        <v>59</v>
      </c>
      <c r="B1" s="206"/>
      <c r="C1" s="206"/>
      <c r="D1" s="206"/>
      <c r="E1" s="206"/>
      <c r="F1" s="206"/>
      <c r="G1" s="207"/>
    </row>
    <row r="2" spans="1:11" s="84" customFormat="1" ht="12" customHeight="1">
      <c r="A2" s="88"/>
      <c r="B2" s="89"/>
      <c r="C2" s="88"/>
      <c r="D2" s="88"/>
      <c r="E2" s="88"/>
      <c r="F2" s="88"/>
      <c r="G2" s="89"/>
      <c r="H2" s="89"/>
      <c r="I2" s="89"/>
      <c r="J2" s="89"/>
      <c r="K2" s="89"/>
    </row>
    <row r="3" spans="1:11" s="85" customFormat="1" ht="24.75" customHeight="1">
      <c r="A3" s="90" t="s">
        <v>60</v>
      </c>
      <c r="B3" s="91"/>
      <c r="C3" s="91"/>
      <c r="D3" s="91"/>
      <c r="E3" s="100"/>
      <c r="F3" s="100"/>
      <c r="G3" s="100"/>
      <c r="H3" s="101"/>
      <c r="I3" s="102"/>
      <c r="J3" s="102"/>
      <c r="K3" s="102"/>
    </row>
    <row r="4" spans="1:11" s="84" customFormat="1" ht="19.5" customHeight="1">
      <c r="A4" s="92"/>
      <c r="B4" s="93" t="s">
        <v>61</v>
      </c>
      <c r="C4" s="208" t="s">
        <v>62</v>
      </c>
      <c r="D4" s="209"/>
      <c r="E4" s="209"/>
      <c r="F4" s="209"/>
      <c r="G4" s="210"/>
      <c r="H4" s="92"/>
      <c r="I4" s="92"/>
      <c r="J4" s="92"/>
      <c r="K4" s="92"/>
    </row>
    <row r="5" spans="1:11" s="84" customFormat="1" ht="19.5" customHeight="1">
      <c r="A5" s="92"/>
      <c r="B5" s="93" t="s">
        <v>63</v>
      </c>
      <c r="C5" s="208" t="s">
        <v>64</v>
      </c>
      <c r="D5" s="209"/>
      <c r="E5" s="209"/>
      <c r="F5" s="209"/>
      <c r="G5" s="210"/>
      <c r="H5" s="92"/>
      <c r="I5" s="92"/>
      <c r="J5" s="92"/>
      <c r="K5" s="92"/>
    </row>
    <row r="6" spans="1:11" s="86" customFormat="1" ht="48" customHeight="1">
      <c r="A6" s="94" t="s">
        <v>65</v>
      </c>
      <c r="B6" s="95"/>
      <c r="C6" s="95"/>
      <c r="D6" s="95"/>
      <c r="E6" s="95"/>
      <c r="F6" s="95"/>
      <c r="G6" s="95"/>
    </row>
    <row r="7" spans="1:11" ht="32" customHeight="1">
      <c r="A7" s="96"/>
      <c r="B7" s="96"/>
      <c r="C7" s="96"/>
      <c r="D7" s="96"/>
      <c r="E7" s="96"/>
      <c r="F7" s="96"/>
      <c r="G7" s="96"/>
    </row>
    <row r="8" spans="1:11" ht="32" customHeight="1">
      <c r="A8" s="96"/>
      <c r="B8" s="96"/>
      <c r="C8" s="96"/>
      <c r="D8" s="96"/>
      <c r="E8" s="96"/>
      <c r="F8" s="96"/>
      <c r="G8" s="96"/>
    </row>
    <row r="9" spans="1:11" ht="20" customHeight="1">
      <c r="A9" s="96"/>
      <c r="B9" s="96"/>
      <c r="C9" s="96"/>
      <c r="D9" s="96"/>
      <c r="E9" s="96"/>
      <c r="F9" s="96"/>
      <c r="G9" s="96"/>
    </row>
    <row r="10" spans="1:11" ht="20" customHeight="1">
      <c r="A10" s="96"/>
      <c r="B10" s="96"/>
      <c r="C10" s="96"/>
      <c r="D10" s="96"/>
      <c r="E10" s="96"/>
      <c r="F10" s="96"/>
      <c r="G10" s="96"/>
    </row>
    <row r="11" spans="1:11" ht="20" customHeight="1">
      <c r="A11" s="96"/>
      <c r="B11" s="96"/>
      <c r="C11" s="96"/>
      <c r="D11" s="96"/>
      <c r="E11" s="96"/>
      <c r="F11" s="96"/>
      <c r="G11" s="96"/>
    </row>
    <row r="12" spans="1:11" ht="20" customHeight="1">
      <c r="A12" s="96"/>
      <c r="B12" s="96"/>
      <c r="C12" s="96"/>
      <c r="D12" s="96"/>
      <c r="E12" s="96"/>
      <c r="F12" s="96"/>
      <c r="G12" s="96"/>
    </row>
    <row r="13" spans="1:11" ht="20" customHeight="1">
      <c r="A13" s="96"/>
      <c r="B13" s="96"/>
      <c r="C13" s="96"/>
      <c r="D13" s="96"/>
      <c r="E13" s="96"/>
      <c r="F13" s="96"/>
      <c r="G13" s="96"/>
    </row>
    <row r="14" spans="1:11" ht="15" customHeight="1">
      <c r="A14" s="96"/>
      <c r="B14" s="96"/>
      <c r="C14" s="96"/>
      <c r="D14" s="96"/>
      <c r="E14" s="96"/>
      <c r="F14" s="96"/>
      <c r="G14" s="96"/>
    </row>
    <row r="15" spans="1:11" ht="20" customHeight="1">
      <c r="A15" s="96"/>
      <c r="B15" s="96"/>
      <c r="C15" s="96"/>
      <c r="D15" s="96"/>
      <c r="E15" s="96"/>
      <c r="F15" s="96"/>
      <c r="G15" s="96"/>
    </row>
    <row r="16" spans="1:11" ht="20" customHeight="1">
      <c r="A16" s="96"/>
      <c r="B16" s="96"/>
      <c r="C16" s="96"/>
      <c r="D16" s="96"/>
      <c r="E16" s="96"/>
      <c r="F16" s="96"/>
      <c r="G16" s="96"/>
    </row>
    <row r="17" spans="1:7" ht="20" customHeight="1">
      <c r="A17" s="96"/>
      <c r="B17" s="96"/>
      <c r="C17" s="96"/>
      <c r="D17" s="96"/>
      <c r="E17" s="96"/>
      <c r="F17" s="96"/>
      <c r="G17" s="96"/>
    </row>
    <row r="18" spans="1:7" ht="20" customHeight="1">
      <c r="A18" s="96"/>
      <c r="B18" s="96"/>
      <c r="C18" s="96"/>
      <c r="D18" s="96"/>
      <c r="E18" s="96"/>
      <c r="F18" s="96"/>
      <c r="G18" s="96"/>
    </row>
    <row r="19" spans="1:7" ht="15" customHeight="1">
      <c r="A19" s="96"/>
      <c r="B19" s="96"/>
      <c r="C19" s="96"/>
      <c r="D19" s="96"/>
      <c r="E19" s="96"/>
      <c r="F19" s="96"/>
      <c r="G19" s="96"/>
    </row>
    <row r="20" spans="1:7" ht="20" customHeight="1">
      <c r="A20" s="96"/>
      <c r="B20" s="96"/>
      <c r="C20" s="96"/>
      <c r="D20" s="96"/>
      <c r="E20" s="96"/>
      <c r="F20" s="96"/>
      <c r="G20" s="96"/>
    </row>
    <row r="21" spans="1:7" ht="20" customHeight="1">
      <c r="A21" s="96"/>
      <c r="B21" s="96"/>
      <c r="C21" s="96"/>
      <c r="D21" s="96"/>
      <c r="E21" s="96"/>
      <c r="F21" s="96"/>
      <c r="G21" s="96"/>
    </row>
    <row r="22" spans="1:7" ht="20" customHeight="1">
      <c r="A22" s="96"/>
      <c r="B22" s="96"/>
      <c r="C22" s="96"/>
      <c r="D22" s="96"/>
      <c r="E22" s="96"/>
      <c r="F22" s="96"/>
      <c r="G22" s="96"/>
    </row>
    <row r="23" spans="1:7" ht="20" customHeight="1">
      <c r="A23" s="96"/>
      <c r="B23" s="96"/>
      <c r="C23" s="96"/>
      <c r="D23" s="96"/>
      <c r="E23" s="96"/>
      <c r="F23" s="96"/>
      <c r="G23" s="96"/>
    </row>
    <row r="24" spans="1:7" ht="20" customHeight="1">
      <c r="A24" s="96"/>
      <c r="B24" s="96"/>
      <c r="C24" s="96"/>
      <c r="D24" s="96"/>
      <c r="E24" s="96"/>
      <c r="F24" s="96"/>
      <c r="G24" s="96"/>
    </row>
    <row r="25" spans="1:7" ht="20" customHeight="1">
      <c r="A25" s="96"/>
      <c r="B25" s="96"/>
      <c r="C25" s="96"/>
      <c r="D25" s="96"/>
      <c r="E25" s="96"/>
      <c r="F25" s="96"/>
      <c r="G25" s="96"/>
    </row>
    <row r="26" spans="1:7" ht="20" customHeight="1">
      <c r="A26" s="96"/>
      <c r="B26" s="96"/>
      <c r="C26" s="96"/>
      <c r="D26" s="96"/>
      <c r="E26" s="96"/>
      <c r="F26" s="96"/>
      <c r="G26" s="96"/>
    </row>
    <row r="27" spans="1:7" ht="20" customHeight="1">
      <c r="A27" s="97"/>
      <c r="B27" s="97"/>
      <c r="C27" s="97"/>
      <c r="D27" s="97"/>
      <c r="E27" s="97"/>
      <c r="F27" s="97"/>
      <c r="G27" s="97"/>
    </row>
    <row r="28" spans="1:7" ht="20" customHeight="1">
      <c r="A28" s="97"/>
      <c r="B28" s="97"/>
      <c r="C28" s="97"/>
      <c r="D28" s="97"/>
      <c r="E28" s="97"/>
      <c r="F28" s="97"/>
      <c r="G28" s="97"/>
    </row>
    <row r="29" spans="1:7" ht="20" customHeight="1">
      <c r="A29" s="98"/>
      <c r="B29" s="97"/>
      <c r="C29" s="97"/>
      <c r="D29" s="97"/>
      <c r="E29" s="97"/>
      <c r="F29" s="97"/>
      <c r="G29" s="97"/>
    </row>
    <row r="30" spans="1:7" ht="20" customHeight="1">
      <c r="A30" s="97"/>
      <c r="B30" s="97"/>
      <c r="C30" s="97"/>
      <c r="D30" s="97"/>
      <c r="E30" s="97"/>
      <c r="F30" s="97"/>
      <c r="G30" s="97"/>
    </row>
    <row r="31" spans="1:7" ht="15" customHeight="1">
      <c r="A31" s="211" t="s">
        <v>66</v>
      </c>
      <c r="B31" s="212"/>
      <c r="C31" s="212"/>
      <c r="D31" s="212"/>
      <c r="E31" s="212"/>
      <c r="F31" s="212"/>
      <c r="G31" s="212"/>
    </row>
    <row r="32" spans="1:7" s="86" customFormat="1" ht="47" customHeight="1">
      <c r="A32" s="94" t="s">
        <v>67</v>
      </c>
      <c r="B32" s="95"/>
      <c r="C32" s="95"/>
      <c r="D32" s="95"/>
      <c r="E32" s="95"/>
      <c r="F32" s="95"/>
      <c r="G32" s="95"/>
    </row>
    <row r="33" spans="1:7" ht="19.75" customHeight="1">
      <c r="A33" s="99"/>
      <c r="B33" s="97"/>
      <c r="C33" s="97"/>
      <c r="D33" s="97"/>
      <c r="E33" s="99"/>
      <c r="F33" s="99"/>
      <c r="G33" s="97"/>
    </row>
    <row r="34" spans="1:7" ht="19.75" customHeight="1">
      <c r="A34" s="99"/>
      <c r="B34" s="97"/>
      <c r="C34" s="97"/>
      <c r="D34" s="97"/>
      <c r="E34" s="99"/>
      <c r="F34" s="99"/>
      <c r="G34" s="97"/>
    </row>
  </sheetData>
  <mergeCells count="4">
    <mergeCell ref="A1:G1"/>
    <mergeCell ref="C4:G4"/>
    <mergeCell ref="C5:G5"/>
    <mergeCell ref="A31:G31"/>
  </mergeCells>
  <pageMargins left="0.23622000000000001" right="0.15748000000000001" top="0.31496099999999999" bottom="0.27559099999999997" header="0.31496099999999999" footer="0.31496099999999999"/>
  <pageSetup orientation="landscape"/>
  <headerFooter>
    <oddFooter>&amp;L&amp;"Calibri,Regular"&amp;11&amp;K000000状态：批准
Status:Approval&amp;R&amp;"Calibri,Regular"&amp;11&amp;K000000信息等级：C(内部文件）
Information Level:C(Internal)</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17"/>
  <sheetViews>
    <sheetView zoomScale="150" zoomScaleNormal="128" workbookViewId="0">
      <pane xSplit="1" ySplit="2" topLeftCell="B3" activePane="bottomRight" state="frozen"/>
      <selection pane="topRight"/>
      <selection pane="bottomLeft"/>
      <selection pane="bottomRight" activeCell="F11" sqref="F11"/>
    </sheetView>
  </sheetViews>
  <sheetFormatPr baseColWidth="10" defaultColWidth="10.83203125" defaultRowHeight="15"/>
  <cols>
    <col min="1" max="1" width="10.83203125" style="78"/>
    <col min="2" max="2" width="10.83203125" style="79"/>
    <col min="3" max="3" width="10.83203125" style="80"/>
    <col min="4" max="4" width="14.5" style="80" customWidth="1"/>
    <col min="5" max="16384" width="10.83203125" style="80"/>
  </cols>
  <sheetData>
    <row r="2" spans="1:10" s="77" customFormat="1" ht="29.25" customHeight="1">
      <c r="A2" s="81"/>
      <c r="B2" s="81"/>
      <c r="C2" s="82" t="s">
        <v>70</v>
      </c>
      <c r="D2" s="82" t="s">
        <v>71</v>
      </c>
      <c r="E2" s="77" t="s">
        <v>68</v>
      </c>
    </row>
    <row r="3" spans="1:10" s="77" customFormat="1" ht="29.25" customHeight="1">
      <c r="A3" s="81"/>
      <c r="B3" s="81"/>
      <c r="C3" s="83" t="s">
        <v>204</v>
      </c>
      <c r="D3" s="83" t="s">
        <v>69</v>
      </c>
      <c r="E3" s="83" t="s">
        <v>69</v>
      </c>
    </row>
    <row r="4" spans="1:10" ht="39" customHeight="1">
      <c r="A4" s="82" t="s">
        <v>70</v>
      </c>
      <c r="B4" s="83" t="s">
        <v>204</v>
      </c>
      <c r="C4" s="80" t="s">
        <v>199</v>
      </c>
      <c r="D4" s="80" t="s">
        <v>89</v>
      </c>
    </row>
    <row r="5" spans="1:10" ht="39" customHeight="1">
      <c r="A5" s="82" t="s">
        <v>71</v>
      </c>
      <c r="B5" s="83" t="s">
        <v>69</v>
      </c>
      <c r="C5" s="80" t="s">
        <v>72</v>
      </c>
      <c r="H5" s="172" t="s">
        <v>202</v>
      </c>
      <c r="I5" s="172"/>
      <c r="J5" s="173" t="s">
        <v>200</v>
      </c>
    </row>
    <row r="6" spans="1:10" ht="39" customHeight="1">
      <c r="H6" s="172" t="s">
        <v>198</v>
      </c>
      <c r="I6" s="172"/>
      <c r="J6" s="174" t="s">
        <v>201</v>
      </c>
    </row>
    <row r="7" spans="1:10" ht="39" customHeight="1">
      <c r="H7" s="172"/>
      <c r="I7" s="172"/>
    </row>
    <row r="8" spans="1:10" ht="39" customHeight="1"/>
    <row r="9" spans="1:10" ht="39" customHeight="1"/>
    <row r="10" spans="1:10" ht="39" customHeight="1"/>
    <row r="11" spans="1:10" ht="39" customHeight="1"/>
    <row r="12" spans="1:10" ht="39" customHeight="1"/>
    <row r="13" spans="1:10" ht="39" customHeight="1"/>
    <row r="14" spans="1:10" ht="39" customHeight="1"/>
    <row r="15" spans="1:10" ht="39" customHeight="1"/>
    <row r="16" spans="1:10" ht="39" customHeight="1"/>
    <row r="17" ht="39" customHeight="1"/>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148"/>
  <sheetViews>
    <sheetView showGridLines="0" topLeftCell="A3" zoomScaleNormal="90" workbookViewId="0">
      <pane xSplit="1" ySplit="1" topLeftCell="B4" activePane="bottomRight" state="frozen"/>
      <selection pane="topRight"/>
      <selection pane="bottomLeft"/>
      <selection pane="bottomRight" activeCell="B6" sqref="B6:C6"/>
    </sheetView>
  </sheetViews>
  <sheetFormatPr baseColWidth="10" defaultColWidth="11" defaultRowHeight="16"/>
  <cols>
    <col min="1" max="1" width="3.6640625" style="59" customWidth="1"/>
    <col min="2" max="2" width="16.1640625" style="59" customWidth="1"/>
    <col min="3" max="3" width="61.1640625" style="59" customWidth="1"/>
    <col min="4" max="4" width="35.33203125" style="59" customWidth="1"/>
    <col min="5" max="5" width="17.33203125" style="59" customWidth="1"/>
    <col min="6" max="6" width="11.33203125" style="59" customWidth="1"/>
    <col min="7" max="8" width="10.5" style="59" customWidth="1"/>
    <col min="9" max="9" width="11.1640625" style="60" customWidth="1"/>
    <col min="10" max="10" width="9" style="59" customWidth="1"/>
    <col min="11" max="11" width="14.33203125" style="59" customWidth="1"/>
    <col min="12" max="12" width="11.33203125" style="60" customWidth="1"/>
    <col min="13" max="14" width="12.83203125" style="59" customWidth="1"/>
    <col min="15" max="15" width="14.83203125" style="59" customWidth="1"/>
    <col min="16" max="257" width="8.83203125" style="59" customWidth="1"/>
    <col min="258" max="16384" width="11" style="59"/>
  </cols>
  <sheetData>
    <row r="1" spans="2:15" ht="18">
      <c r="B1" s="213" t="s">
        <v>73</v>
      </c>
      <c r="C1" s="213"/>
      <c r="D1" s="61"/>
    </row>
    <row r="2" spans="2:15" ht="134" customHeight="1">
      <c r="B2" s="214" t="s">
        <v>74</v>
      </c>
      <c r="C2" s="214"/>
      <c r="D2" s="62"/>
      <c r="F2" s="65"/>
    </row>
    <row r="3" spans="2:15" s="57" customFormat="1" ht="112">
      <c r="B3" s="63" t="s">
        <v>75</v>
      </c>
      <c r="C3" s="63" t="s">
        <v>76</v>
      </c>
      <c r="D3" s="63" t="s">
        <v>77</v>
      </c>
      <c r="E3" s="63" t="s">
        <v>78</v>
      </c>
      <c r="F3" s="66" t="s">
        <v>79</v>
      </c>
      <c r="G3" s="66" t="s">
        <v>80</v>
      </c>
      <c r="H3" s="66" t="s">
        <v>81</v>
      </c>
      <c r="I3" s="69" t="s">
        <v>82</v>
      </c>
      <c r="J3" s="70" t="s">
        <v>83</v>
      </c>
      <c r="K3" s="70" t="s">
        <v>84</v>
      </c>
      <c r="L3" s="71" t="s">
        <v>85</v>
      </c>
      <c r="M3" s="70" t="s">
        <v>86</v>
      </c>
      <c r="N3" s="70" t="s">
        <v>87</v>
      </c>
      <c r="O3" s="70" t="s">
        <v>88</v>
      </c>
    </row>
    <row r="4" spans="2:15" ht="39" customHeight="1">
      <c r="B4" s="64" t="s">
        <v>89</v>
      </c>
      <c r="C4" s="64" t="s">
        <v>90</v>
      </c>
      <c r="D4" s="64" t="s">
        <v>91</v>
      </c>
      <c r="E4" s="67" t="s">
        <v>92</v>
      </c>
      <c r="F4" s="68" t="s">
        <v>93</v>
      </c>
      <c r="G4" s="67"/>
      <c r="H4" s="67"/>
      <c r="I4" s="68"/>
      <c r="J4" s="67"/>
      <c r="K4" s="67"/>
      <c r="L4" s="68" t="s">
        <v>93</v>
      </c>
      <c r="M4" s="67"/>
      <c r="N4" s="67"/>
      <c r="O4" s="67"/>
    </row>
    <row r="5" spans="2:15" ht="39" customHeight="1">
      <c r="B5" s="64" t="s">
        <v>72</v>
      </c>
      <c r="C5" s="64"/>
      <c r="D5" s="64"/>
      <c r="E5" s="67"/>
      <c r="F5" s="67"/>
      <c r="G5" s="67"/>
      <c r="H5" s="67"/>
      <c r="I5" s="68"/>
      <c r="J5" s="67"/>
      <c r="K5" s="67"/>
      <c r="L5" s="68"/>
      <c r="M5" s="67"/>
      <c r="N5" s="67"/>
      <c r="O5" s="67"/>
    </row>
    <row r="6" spans="2:15" ht="39" customHeight="1">
      <c r="B6" s="64" t="s">
        <v>199</v>
      </c>
      <c r="C6" s="64" t="s">
        <v>203</v>
      </c>
      <c r="D6" s="64"/>
      <c r="E6" s="67"/>
      <c r="F6" s="67"/>
      <c r="G6" s="67"/>
      <c r="H6" s="67"/>
      <c r="I6" s="68"/>
      <c r="J6" s="67"/>
      <c r="K6" s="67"/>
      <c r="L6" s="68"/>
      <c r="M6" s="67"/>
      <c r="N6" s="67"/>
      <c r="O6" s="67"/>
    </row>
    <row r="7" spans="2:15" ht="39" customHeight="1">
      <c r="B7" s="64"/>
      <c r="C7" s="64"/>
      <c r="D7" s="64"/>
      <c r="E7" s="67"/>
      <c r="F7" s="67"/>
      <c r="G7" s="67"/>
      <c r="H7" s="67"/>
      <c r="I7" s="68"/>
      <c r="J7" s="67"/>
      <c r="K7" s="67"/>
      <c r="L7" s="68"/>
      <c r="M7" s="67"/>
      <c r="N7" s="67"/>
      <c r="O7" s="67"/>
    </row>
    <row r="8" spans="2:15" ht="39" customHeight="1">
      <c r="B8" s="64"/>
      <c r="C8" s="64"/>
      <c r="D8" s="64"/>
      <c r="E8" s="67"/>
      <c r="F8" s="67"/>
      <c r="G8" s="67"/>
      <c r="H8" s="67"/>
      <c r="I8" s="68"/>
      <c r="J8" s="67"/>
      <c r="K8" s="67"/>
      <c r="L8" s="68"/>
      <c r="M8" s="67"/>
      <c r="N8" s="67"/>
      <c r="O8" s="67"/>
    </row>
    <row r="9" spans="2:15" ht="39" customHeight="1">
      <c r="B9" s="64"/>
      <c r="C9" s="64"/>
      <c r="D9" s="64"/>
      <c r="E9" s="67"/>
      <c r="F9" s="67"/>
      <c r="G9" s="67"/>
      <c r="H9" s="67"/>
      <c r="I9" s="68"/>
      <c r="J9" s="67"/>
      <c r="K9" s="67"/>
      <c r="L9" s="68"/>
      <c r="M9" s="67"/>
      <c r="N9" s="67"/>
      <c r="O9" s="67"/>
    </row>
    <row r="10" spans="2:15" ht="39" customHeight="1">
      <c r="B10" s="64"/>
      <c r="C10" s="64"/>
      <c r="D10" s="64"/>
      <c r="E10" s="67"/>
      <c r="F10" s="67"/>
      <c r="G10" s="67"/>
      <c r="H10" s="67"/>
      <c r="I10" s="68"/>
      <c r="J10" s="67"/>
      <c r="K10" s="67"/>
      <c r="L10" s="68"/>
      <c r="M10" s="67"/>
      <c r="N10" s="67"/>
      <c r="O10" s="67"/>
    </row>
    <row r="11" spans="2:15" ht="39" customHeight="1">
      <c r="B11" s="64"/>
      <c r="C11" s="64"/>
      <c r="D11" s="64"/>
      <c r="E11" s="67"/>
      <c r="F11" s="67"/>
      <c r="G11" s="67"/>
      <c r="H11" s="67"/>
      <c r="I11" s="68"/>
      <c r="J11" s="67"/>
      <c r="K11" s="67"/>
      <c r="L11" s="68"/>
      <c r="M11" s="67"/>
      <c r="N11" s="67"/>
      <c r="O11" s="67"/>
    </row>
    <row r="12" spans="2:15" ht="39" customHeight="1">
      <c r="B12" s="64"/>
      <c r="C12" s="64"/>
      <c r="D12" s="64"/>
      <c r="E12" s="67"/>
      <c r="F12" s="67"/>
      <c r="G12" s="67"/>
      <c r="H12" s="67"/>
      <c r="I12" s="68"/>
      <c r="J12" s="67"/>
      <c r="K12" s="67"/>
      <c r="L12" s="68"/>
      <c r="M12" s="67"/>
      <c r="N12" s="67"/>
      <c r="O12" s="67"/>
    </row>
    <row r="13" spans="2:15" ht="39" customHeight="1">
      <c r="B13" s="64"/>
      <c r="C13" s="64"/>
      <c r="D13" s="64"/>
      <c r="E13" s="67"/>
      <c r="F13" s="67"/>
      <c r="G13" s="67"/>
      <c r="H13" s="67"/>
      <c r="I13" s="68"/>
      <c r="J13" s="67"/>
      <c r="K13" s="67"/>
      <c r="L13" s="68"/>
      <c r="M13" s="67"/>
      <c r="N13" s="67"/>
      <c r="O13" s="67"/>
    </row>
    <row r="14" spans="2:15" ht="39" customHeight="1">
      <c r="B14" s="64"/>
      <c r="C14" s="64"/>
      <c r="D14" s="64"/>
      <c r="E14" s="67"/>
      <c r="F14" s="67"/>
      <c r="G14" s="67"/>
      <c r="H14" s="67"/>
      <c r="I14" s="68"/>
      <c r="J14" s="67"/>
      <c r="K14" s="67"/>
      <c r="L14" s="68"/>
      <c r="M14" s="67"/>
      <c r="N14" s="67"/>
      <c r="O14" s="67"/>
    </row>
    <row r="15" spans="2:15" ht="39" customHeight="1">
      <c r="B15" s="64"/>
      <c r="C15" s="64"/>
      <c r="D15" s="64"/>
      <c r="E15" s="67"/>
      <c r="F15" s="67"/>
      <c r="G15" s="67"/>
      <c r="H15" s="67"/>
      <c r="I15" s="68"/>
      <c r="J15" s="67"/>
      <c r="K15" s="67"/>
      <c r="L15" s="68"/>
      <c r="M15" s="67"/>
      <c r="N15" s="67"/>
      <c r="O15" s="67"/>
    </row>
    <row r="16" spans="2:15" ht="39" customHeight="1">
      <c r="B16" s="64"/>
      <c r="C16" s="64"/>
      <c r="D16" s="64"/>
      <c r="E16" s="67"/>
      <c r="F16" s="67"/>
      <c r="G16" s="67"/>
      <c r="H16" s="67"/>
      <c r="I16" s="68"/>
      <c r="J16" s="67"/>
      <c r="K16" s="67"/>
      <c r="L16" s="68"/>
      <c r="M16" s="67"/>
      <c r="N16" s="67"/>
      <c r="O16" s="67"/>
    </row>
    <row r="17" spans="2:15" ht="39" customHeight="1">
      <c r="B17" s="64"/>
      <c r="C17" s="64"/>
      <c r="D17" s="64"/>
      <c r="E17" s="67"/>
      <c r="F17" s="67"/>
      <c r="G17" s="67"/>
      <c r="H17" s="67"/>
      <c r="I17" s="68"/>
      <c r="J17" s="67"/>
      <c r="K17" s="67"/>
      <c r="L17" s="68"/>
      <c r="M17" s="67"/>
      <c r="N17" s="67"/>
      <c r="O17" s="67"/>
    </row>
    <row r="18" spans="2:15" ht="39" customHeight="1">
      <c r="B18" s="64"/>
      <c r="C18" s="64"/>
      <c r="D18" s="64"/>
      <c r="E18" s="67"/>
      <c r="F18" s="67"/>
      <c r="G18" s="67"/>
      <c r="H18" s="67"/>
      <c r="I18" s="68"/>
      <c r="J18" s="67"/>
      <c r="K18" s="67"/>
      <c r="L18" s="68"/>
      <c r="M18" s="67"/>
      <c r="N18" s="67"/>
      <c r="O18" s="67"/>
    </row>
    <row r="19" spans="2:15" ht="39" customHeight="1">
      <c r="B19" s="64"/>
      <c r="C19" s="64"/>
      <c r="D19" s="64"/>
      <c r="E19" s="67"/>
      <c r="F19" s="67"/>
      <c r="G19" s="67"/>
      <c r="H19" s="67"/>
      <c r="I19" s="68"/>
      <c r="J19" s="67"/>
      <c r="K19" s="67"/>
      <c r="L19" s="68"/>
      <c r="M19" s="67"/>
      <c r="N19" s="67"/>
      <c r="O19" s="67"/>
    </row>
    <row r="20" spans="2:15" ht="39" customHeight="1">
      <c r="B20" s="64"/>
      <c r="C20" s="64"/>
      <c r="D20" s="64"/>
      <c r="E20" s="67"/>
      <c r="F20" s="67"/>
      <c r="G20" s="67"/>
      <c r="H20" s="67"/>
      <c r="I20" s="68"/>
      <c r="J20" s="67"/>
      <c r="K20" s="67"/>
      <c r="L20" s="68"/>
      <c r="M20" s="67"/>
      <c r="N20" s="67"/>
      <c r="O20" s="67"/>
    </row>
    <row r="21" spans="2:15" ht="39" customHeight="1">
      <c r="B21" s="64"/>
      <c r="C21" s="64"/>
      <c r="D21" s="64"/>
      <c r="E21" s="67"/>
      <c r="F21" s="67"/>
      <c r="G21" s="67"/>
      <c r="H21" s="67"/>
      <c r="I21" s="68"/>
      <c r="J21" s="67"/>
      <c r="K21" s="67"/>
      <c r="L21" s="68"/>
      <c r="M21" s="67"/>
      <c r="N21" s="67"/>
      <c r="O21" s="67"/>
    </row>
    <row r="22" spans="2:15" ht="39" customHeight="1">
      <c r="B22" s="64"/>
      <c r="C22" s="64"/>
      <c r="D22" s="64"/>
      <c r="E22" s="67"/>
      <c r="F22" s="67"/>
      <c r="G22" s="67"/>
      <c r="H22" s="67"/>
      <c r="I22" s="68"/>
      <c r="J22" s="67"/>
      <c r="K22" s="67"/>
      <c r="L22" s="68"/>
      <c r="M22" s="67"/>
      <c r="N22" s="67"/>
      <c r="O22" s="67"/>
    </row>
    <row r="23" spans="2:15" ht="39" customHeight="1">
      <c r="B23" s="64"/>
      <c r="C23" s="64"/>
      <c r="D23" s="64"/>
      <c r="E23" s="67"/>
      <c r="F23" s="67"/>
      <c r="G23" s="67"/>
      <c r="H23" s="67"/>
      <c r="I23" s="68"/>
      <c r="J23" s="67"/>
      <c r="K23" s="67"/>
      <c r="L23" s="68"/>
      <c r="M23" s="67"/>
      <c r="N23" s="67"/>
      <c r="O23" s="67"/>
    </row>
    <row r="24" spans="2:15" ht="39" customHeight="1">
      <c r="B24" s="64"/>
      <c r="C24" s="64"/>
      <c r="D24" s="64"/>
      <c r="E24" s="67"/>
      <c r="F24" s="67"/>
      <c r="G24" s="67"/>
      <c r="H24" s="67"/>
      <c r="I24" s="68"/>
      <c r="J24" s="67"/>
      <c r="K24" s="67"/>
      <c r="L24" s="68"/>
      <c r="M24" s="67"/>
      <c r="N24" s="67"/>
      <c r="O24" s="67"/>
    </row>
    <row r="25" spans="2:15" ht="39" customHeight="1">
      <c r="B25" s="64"/>
      <c r="C25" s="64"/>
      <c r="D25" s="64"/>
      <c r="E25" s="67"/>
      <c r="F25" s="67"/>
      <c r="G25" s="67"/>
      <c r="H25" s="67"/>
      <c r="I25" s="68"/>
      <c r="J25" s="67"/>
      <c r="K25" s="67"/>
      <c r="L25" s="68"/>
      <c r="M25" s="67"/>
      <c r="N25" s="67"/>
      <c r="O25" s="67"/>
    </row>
    <row r="26" spans="2:15" ht="39" customHeight="1">
      <c r="B26" s="64"/>
      <c r="C26" s="64"/>
      <c r="D26" s="64"/>
      <c r="E26" s="67"/>
      <c r="F26" s="67"/>
      <c r="G26" s="67"/>
      <c r="H26" s="67"/>
      <c r="I26" s="68"/>
      <c r="J26" s="67"/>
      <c r="K26" s="67"/>
      <c r="L26" s="68"/>
      <c r="M26" s="67"/>
      <c r="N26" s="67"/>
      <c r="O26" s="67"/>
    </row>
    <row r="27" spans="2:15" ht="39" customHeight="1">
      <c r="B27" s="64"/>
      <c r="C27" s="64"/>
      <c r="D27" s="64"/>
      <c r="E27" s="67"/>
      <c r="F27" s="67"/>
      <c r="G27" s="67"/>
      <c r="H27" s="67"/>
      <c r="I27" s="68"/>
      <c r="J27" s="67"/>
      <c r="K27" s="67"/>
      <c r="L27" s="68"/>
      <c r="M27" s="67"/>
      <c r="N27" s="67"/>
      <c r="O27" s="67"/>
    </row>
    <row r="28" spans="2:15" ht="39" customHeight="1">
      <c r="B28" s="64"/>
      <c r="C28" s="64"/>
      <c r="D28" s="64"/>
      <c r="E28" s="67"/>
      <c r="F28" s="67"/>
      <c r="G28" s="67"/>
      <c r="H28" s="67"/>
      <c r="I28" s="68"/>
      <c r="J28" s="67"/>
      <c r="K28" s="67"/>
      <c r="L28" s="68"/>
      <c r="M28" s="67"/>
      <c r="N28" s="67"/>
      <c r="O28" s="67"/>
    </row>
    <row r="29" spans="2:15" ht="39" customHeight="1">
      <c r="B29" s="64"/>
      <c r="C29" s="64"/>
      <c r="D29" s="64"/>
      <c r="E29" s="67"/>
      <c r="F29" s="67"/>
      <c r="G29" s="67"/>
      <c r="H29" s="67"/>
      <c r="I29" s="68"/>
      <c r="J29" s="67"/>
      <c r="K29" s="67"/>
      <c r="L29" s="68"/>
      <c r="M29" s="67"/>
      <c r="N29" s="67"/>
      <c r="O29" s="67"/>
    </row>
    <row r="30" spans="2:15" ht="39" customHeight="1">
      <c r="B30" s="64"/>
      <c r="C30" s="64"/>
      <c r="D30" s="64"/>
      <c r="E30" s="67"/>
      <c r="F30" s="67"/>
      <c r="G30" s="67"/>
      <c r="H30" s="67"/>
      <c r="I30" s="68"/>
      <c r="J30" s="67"/>
      <c r="K30" s="67"/>
      <c r="L30" s="68"/>
      <c r="M30" s="67"/>
      <c r="N30" s="67"/>
      <c r="O30" s="67"/>
    </row>
    <row r="31" spans="2:15" ht="39" customHeight="1">
      <c r="B31" s="64"/>
      <c r="C31" s="64"/>
      <c r="D31" s="64"/>
      <c r="E31" s="67"/>
      <c r="F31" s="67"/>
      <c r="G31" s="67"/>
      <c r="H31" s="67"/>
      <c r="I31" s="68"/>
      <c r="J31" s="67"/>
      <c r="K31" s="67"/>
      <c r="L31" s="68"/>
      <c r="M31" s="67"/>
      <c r="N31" s="67"/>
      <c r="O31" s="67"/>
    </row>
    <row r="32" spans="2:15" ht="39" customHeight="1">
      <c r="B32" s="64"/>
      <c r="C32" s="64"/>
      <c r="D32" s="64"/>
      <c r="E32" s="67"/>
      <c r="F32" s="67"/>
      <c r="G32" s="67"/>
      <c r="H32" s="67"/>
      <c r="I32" s="68"/>
      <c r="J32" s="67"/>
      <c r="K32" s="67"/>
      <c r="L32" s="68"/>
      <c r="M32" s="67"/>
      <c r="N32" s="67"/>
      <c r="O32" s="67"/>
    </row>
    <row r="33" spans="2:15" ht="39" customHeight="1">
      <c r="B33" s="64"/>
      <c r="C33" s="64"/>
      <c r="D33" s="64"/>
      <c r="E33" s="67"/>
      <c r="F33" s="67"/>
      <c r="G33" s="67"/>
      <c r="H33" s="67"/>
      <c r="I33" s="68"/>
      <c r="J33" s="67"/>
      <c r="K33" s="67"/>
      <c r="L33" s="68"/>
      <c r="M33" s="67"/>
      <c r="N33" s="67"/>
      <c r="O33" s="67"/>
    </row>
    <row r="34" spans="2:15" ht="39" customHeight="1">
      <c r="B34" s="64"/>
      <c r="C34" s="64"/>
      <c r="D34" s="64"/>
      <c r="E34" s="67"/>
      <c r="F34" s="67"/>
      <c r="G34" s="67"/>
      <c r="H34" s="67"/>
      <c r="I34" s="68"/>
      <c r="J34" s="67"/>
      <c r="K34" s="67"/>
      <c r="L34" s="68"/>
      <c r="M34" s="67"/>
      <c r="N34" s="67"/>
      <c r="O34" s="67"/>
    </row>
    <row r="35" spans="2:15" ht="39" customHeight="1">
      <c r="B35" s="64"/>
      <c r="C35" s="64"/>
      <c r="D35" s="64"/>
      <c r="E35" s="67"/>
      <c r="F35" s="67"/>
      <c r="G35" s="67"/>
      <c r="H35" s="67"/>
      <c r="I35" s="68"/>
      <c r="J35" s="67"/>
      <c r="K35" s="67"/>
      <c r="L35" s="68"/>
      <c r="M35" s="67"/>
      <c r="N35" s="67"/>
      <c r="O35" s="67"/>
    </row>
    <row r="36" spans="2:15" ht="39" customHeight="1">
      <c r="B36" s="64"/>
      <c r="C36" s="64"/>
      <c r="D36" s="64"/>
      <c r="E36" s="67"/>
      <c r="F36" s="67"/>
      <c r="G36" s="67"/>
      <c r="H36" s="67"/>
      <c r="I36" s="68"/>
      <c r="J36" s="67"/>
      <c r="K36" s="67"/>
      <c r="L36" s="68"/>
      <c r="M36" s="67"/>
      <c r="N36" s="67"/>
      <c r="O36" s="67"/>
    </row>
    <row r="37" spans="2:15" ht="39" customHeight="1">
      <c r="B37" s="64"/>
      <c r="C37" s="64"/>
      <c r="D37" s="64"/>
      <c r="E37" s="67"/>
      <c r="F37" s="67"/>
      <c r="G37" s="67"/>
      <c r="H37" s="67"/>
      <c r="I37" s="68"/>
      <c r="J37" s="67"/>
      <c r="K37" s="67"/>
      <c r="L37" s="68"/>
      <c r="M37" s="67"/>
      <c r="N37" s="67"/>
      <c r="O37" s="67"/>
    </row>
    <row r="38" spans="2:15" ht="39" customHeight="1">
      <c r="B38" s="64"/>
      <c r="C38" s="64"/>
      <c r="D38" s="64"/>
      <c r="E38" s="67"/>
      <c r="F38" s="67"/>
      <c r="G38" s="67"/>
      <c r="H38" s="67"/>
      <c r="I38" s="68"/>
      <c r="J38" s="67"/>
      <c r="K38" s="67"/>
      <c r="L38" s="68"/>
      <c r="M38" s="67"/>
      <c r="N38" s="67"/>
      <c r="O38" s="67"/>
    </row>
    <row r="39" spans="2:15" ht="39" customHeight="1">
      <c r="B39" s="64"/>
      <c r="C39" s="64"/>
      <c r="D39" s="64"/>
      <c r="E39" s="67"/>
      <c r="F39" s="67"/>
      <c r="G39" s="67"/>
      <c r="H39" s="67"/>
      <c r="I39" s="68"/>
      <c r="J39" s="67"/>
      <c r="K39" s="67"/>
      <c r="L39" s="68"/>
      <c r="M39" s="67"/>
      <c r="N39" s="67"/>
      <c r="O39" s="67"/>
    </row>
    <row r="40" spans="2:15" ht="39" customHeight="1">
      <c r="B40" s="64"/>
      <c r="C40" s="64"/>
      <c r="D40" s="64"/>
      <c r="E40" s="67"/>
      <c r="F40" s="67"/>
      <c r="G40" s="67"/>
      <c r="H40" s="67"/>
      <c r="I40" s="68"/>
      <c r="J40" s="67"/>
      <c r="K40" s="67"/>
      <c r="L40" s="68"/>
      <c r="M40" s="67"/>
      <c r="N40" s="67"/>
      <c r="O40" s="67"/>
    </row>
    <row r="41" spans="2:15" ht="39" customHeight="1">
      <c r="B41" s="64"/>
      <c r="C41" s="64"/>
      <c r="D41" s="64"/>
      <c r="E41" s="67"/>
      <c r="F41" s="67"/>
      <c r="G41" s="67"/>
      <c r="H41" s="67"/>
      <c r="I41" s="68"/>
      <c r="J41" s="67"/>
      <c r="K41" s="67"/>
      <c r="L41" s="68"/>
      <c r="M41" s="67"/>
      <c r="N41" s="67"/>
      <c r="O41" s="67"/>
    </row>
    <row r="42" spans="2:15" ht="39" customHeight="1">
      <c r="B42" s="64"/>
      <c r="C42" s="64"/>
      <c r="D42" s="64"/>
      <c r="E42" s="67"/>
      <c r="F42" s="67"/>
      <c r="G42" s="67"/>
      <c r="H42" s="67"/>
      <c r="I42" s="68"/>
      <c r="J42" s="67"/>
      <c r="K42" s="67"/>
      <c r="L42" s="68"/>
      <c r="M42" s="67"/>
      <c r="N42" s="67"/>
      <c r="O42" s="67"/>
    </row>
    <row r="43" spans="2:15" ht="39" customHeight="1">
      <c r="B43" s="64"/>
      <c r="C43" s="64"/>
      <c r="D43" s="64"/>
      <c r="E43" s="67"/>
      <c r="F43" s="67"/>
      <c r="G43" s="67"/>
      <c r="H43" s="67"/>
      <c r="I43" s="68"/>
      <c r="J43" s="67"/>
      <c r="K43" s="67"/>
      <c r="L43" s="68"/>
      <c r="M43" s="67"/>
      <c r="N43" s="67"/>
      <c r="O43" s="67"/>
    </row>
    <row r="44" spans="2:15" ht="39" customHeight="1">
      <c r="B44" s="64"/>
      <c r="C44" s="64"/>
      <c r="D44" s="64"/>
      <c r="E44" s="67"/>
      <c r="F44" s="67"/>
      <c r="G44" s="67"/>
      <c r="H44" s="67"/>
      <c r="I44" s="68"/>
      <c r="J44" s="67"/>
      <c r="K44" s="67"/>
      <c r="L44" s="68"/>
      <c r="M44" s="67"/>
      <c r="N44" s="67"/>
      <c r="O44" s="67"/>
    </row>
    <row r="45" spans="2:15" ht="39" customHeight="1">
      <c r="B45" s="64"/>
      <c r="C45" s="64"/>
      <c r="D45" s="64"/>
      <c r="E45" s="67"/>
      <c r="F45" s="67"/>
      <c r="G45" s="67"/>
      <c r="H45" s="67"/>
      <c r="I45" s="68"/>
      <c r="J45" s="67"/>
      <c r="K45" s="67"/>
      <c r="L45" s="68"/>
      <c r="M45" s="67"/>
      <c r="N45" s="67"/>
      <c r="O45" s="67"/>
    </row>
    <row r="46" spans="2:15" ht="39" customHeight="1">
      <c r="B46" s="64"/>
      <c r="C46" s="64"/>
      <c r="D46" s="64"/>
      <c r="E46" s="67"/>
      <c r="F46" s="67"/>
      <c r="G46" s="67"/>
      <c r="H46" s="67"/>
      <c r="I46" s="68"/>
      <c r="J46" s="67"/>
      <c r="K46" s="67"/>
      <c r="L46" s="68"/>
      <c r="M46" s="67"/>
      <c r="N46" s="67"/>
      <c r="O46" s="67"/>
    </row>
    <row r="47" spans="2:15" ht="39" customHeight="1">
      <c r="B47" s="64"/>
      <c r="C47" s="64"/>
      <c r="D47" s="64"/>
      <c r="E47" s="67"/>
      <c r="F47" s="67"/>
      <c r="G47" s="67"/>
      <c r="H47" s="67"/>
      <c r="I47" s="68"/>
      <c r="J47" s="67"/>
      <c r="K47" s="67"/>
      <c r="L47" s="68"/>
      <c r="M47" s="67"/>
      <c r="N47" s="67"/>
      <c r="O47" s="67"/>
    </row>
    <row r="48" spans="2:15" ht="39" customHeight="1">
      <c r="B48" s="64"/>
      <c r="C48" s="64"/>
      <c r="D48" s="64"/>
      <c r="E48" s="67"/>
      <c r="F48" s="67"/>
      <c r="G48" s="67"/>
      <c r="H48" s="67"/>
      <c r="I48" s="68"/>
      <c r="J48" s="67"/>
      <c r="K48" s="67"/>
      <c r="L48" s="68"/>
      <c r="M48" s="67"/>
      <c r="N48" s="67"/>
      <c r="O48" s="67"/>
    </row>
    <row r="49" spans="2:15" ht="39" customHeight="1">
      <c r="B49" s="64"/>
      <c r="C49" s="64"/>
      <c r="D49" s="64"/>
      <c r="E49" s="67"/>
      <c r="F49" s="67"/>
      <c r="G49" s="67"/>
      <c r="H49" s="67"/>
      <c r="I49" s="68"/>
      <c r="J49" s="67"/>
      <c r="K49" s="67"/>
      <c r="L49" s="68"/>
      <c r="M49" s="67"/>
      <c r="N49" s="67"/>
      <c r="O49" s="67"/>
    </row>
    <row r="50" spans="2:15" ht="39" customHeight="1">
      <c r="B50" s="64"/>
      <c r="C50" s="64"/>
      <c r="D50" s="64"/>
      <c r="E50" s="67"/>
      <c r="F50" s="67"/>
      <c r="G50" s="67"/>
      <c r="H50" s="67"/>
      <c r="I50" s="68"/>
      <c r="J50" s="68"/>
      <c r="K50" s="67"/>
      <c r="L50" s="68"/>
      <c r="M50" s="67"/>
      <c r="N50" s="67"/>
      <c r="O50" s="67"/>
    </row>
    <row r="51" spans="2:15" ht="39" customHeight="1">
      <c r="B51" s="64"/>
      <c r="C51" s="64"/>
      <c r="D51" s="64"/>
      <c r="E51" s="67"/>
      <c r="F51" s="67"/>
      <c r="G51" s="67"/>
      <c r="H51" s="67"/>
      <c r="I51" s="68"/>
      <c r="J51" s="68"/>
      <c r="K51" s="67"/>
      <c r="L51" s="68"/>
      <c r="M51" s="67"/>
      <c r="N51" s="67"/>
      <c r="O51" s="67"/>
    </row>
    <row r="52" spans="2:15" ht="39" customHeight="1">
      <c r="B52" s="64"/>
      <c r="C52" s="64"/>
      <c r="D52" s="64"/>
      <c r="E52" s="67"/>
      <c r="F52" s="67"/>
      <c r="G52" s="67"/>
      <c r="H52" s="67"/>
      <c r="I52" s="68"/>
      <c r="J52" s="68"/>
      <c r="K52" s="67"/>
      <c r="L52" s="68"/>
      <c r="M52" s="67"/>
      <c r="N52" s="67"/>
      <c r="O52" s="67"/>
    </row>
    <row r="53" spans="2:15" ht="39" customHeight="1">
      <c r="B53" s="64"/>
      <c r="C53" s="64"/>
      <c r="D53" s="64"/>
      <c r="E53" s="67"/>
      <c r="F53" s="67"/>
      <c r="G53" s="67"/>
      <c r="H53" s="67"/>
      <c r="I53" s="68"/>
      <c r="J53" s="68"/>
      <c r="K53" s="67"/>
      <c r="L53" s="68"/>
      <c r="M53" s="67"/>
      <c r="N53" s="67"/>
      <c r="O53" s="67"/>
    </row>
    <row r="54" spans="2:15" ht="39" customHeight="1">
      <c r="B54" s="64"/>
      <c r="C54" s="64"/>
      <c r="D54" s="64"/>
      <c r="E54" s="67"/>
      <c r="F54" s="67"/>
      <c r="G54" s="67"/>
      <c r="H54" s="67"/>
      <c r="I54" s="68"/>
      <c r="J54" s="67"/>
      <c r="K54" s="67"/>
      <c r="L54" s="68"/>
      <c r="M54" s="67"/>
      <c r="N54" s="67"/>
      <c r="O54" s="67"/>
    </row>
    <row r="55" spans="2:15" ht="39" customHeight="1">
      <c r="B55" s="64"/>
      <c r="C55" s="64"/>
      <c r="D55" s="64"/>
      <c r="E55" s="67"/>
      <c r="F55" s="67"/>
      <c r="G55" s="67"/>
      <c r="H55" s="67"/>
      <c r="I55" s="68"/>
      <c r="J55" s="67"/>
      <c r="K55" s="67"/>
      <c r="L55" s="68"/>
      <c r="M55" s="67"/>
      <c r="N55" s="67"/>
      <c r="O55" s="67"/>
    </row>
    <row r="56" spans="2:15" ht="39" customHeight="1">
      <c r="B56" s="64"/>
      <c r="C56" s="64"/>
      <c r="D56" s="64"/>
      <c r="E56" s="67"/>
      <c r="F56" s="67"/>
      <c r="G56" s="67"/>
      <c r="H56" s="67"/>
      <c r="I56" s="68"/>
      <c r="J56" s="67"/>
      <c r="K56" s="67"/>
      <c r="L56" s="68"/>
      <c r="M56" s="67"/>
      <c r="N56" s="67"/>
      <c r="O56" s="67"/>
    </row>
    <row r="57" spans="2:15" ht="39" customHeight="1">
      <c r="B57" s="64"/>
      <c r="C57" s="64"/>
      <c r="D57" s="64"/>
      <c r="E57" s="67"/>
      <c r="F57" s="67"/>
      <c r="G57" s="67"/>
      <c r="H57" s="67"/>
      <c r="I57" s="68"/>
      <c r="J57" s="67"/>
      <c r="K57" s="67"/>
      <c r="L57" s="68"/>
      <c r="M57" s="67"/>
      <c r="N57" s="67"/>
      <c r="O57" s="67"/>
    </row>
    <row r="58" spans="2:15" ht="39" customHeight="1">
      <c r="B58" s="64"/>
      <c r="C58" s="64"/>
      <c r="D58" s="64"/>
      <c r="E58" s="67"/>
      <c r="F58" s="67"/>
      <c r="G58" s="67"/>
      <c r="H58" s="67"/>
      <c r="I58" s="68"/>
      <c r="J58" s="67"/>
      <c r="K58" s="67"/>
      <c r="L58" s="68"/>
      <c r="M58" s="67"/>
      <c r="N58" s="67"/>
      <c r="O58" s="67"/>
    </row>
    <row r="59" spans="2:15" ht="39" customHeight="1">
      <c r="B59" s="64"/>
      <c r="C59" s="64"/>
      <c r="D59" s="64"/>
      <c r="E59" s="67"/>
      <c r="F59" s="67"/>
      <c r="G59" s="67"/>
      <c r="H59" s="67"/>
      <c r="I59" s="68"/>
      <c r="J59" s="67"/>
      <c r="K59" s="67"/>
      <c r="L59" s="68"/>
      <c r="M59" s="67"/>
      <c r="N59" s="67"/>
      <c r="O59" s="67"/>
    </row>
    <row r="60" spans="2:15" ht="39" customHeight="1">
      <c r="B60" s="64"/>
      <c r="C60" s="64"/>
      <c r="D60" s="64"/>
      <c r="E60" s="67"/>
      <c r="F60" s="67"/>
      <c r="G60" s="67"/>
      <c r="H60" s="67"/>
      <c r="I60" s="68"/>
      <c r="J60" s="67"/>
      <c r="K60" s="67"/>
      <c r="L60" s="68"/>
      <c r="M60" s="67"/>
      <c r="N60" s="67"/>
      <c r="O60" s="67"/>
    </row>
    <row r="61" spans="2:15" ht="39" customHeight="1">
      <c r="B61" s="64"/>
      <c r="C61" s="64"/>
      <c r="D61" s="64"/>
      <c r="E61" s="67"/>
      <c r="F61" s="67"/>
      <c r="G61" s="67"/>
      <c r="H61" s="67"/>
      <c r="I61" s="68"/>
      <c r="J61" s="67"/>
      <c r="K61" s="67"/>
      <c r="L61" s="68"/>
      <c r="M61" s="67"/>
      <c r="N61" s="67"/>
      <c r="O61" s="67"/>
    </row>
    <row r="62" spans="2:15" ht="39" customHeight="1">
      <c r="B62" s="64"/>
      <c r="C62" s="64"/>
      <c r="D62" s="64"/>
      <c r="E62" s="67"/>
      <c r="F62" s="67"/>
      <c r="G62" s="67"/>
      <c r="H62" s="67"/>
      <c r="I62" s="68"/>
      <c r="J62" s="67"/>
      <c r="K62" s="67"/>
      <c r="L62" s="68"/>
      <c r="M62" s="67"/>
      <c r="N62" s="67"/>
      <c r="O62" s="67"/>
    </row>
    <row r="63" spans="2:15" ht="39" customHeight="1">
      <c r="B63" s="64"/>
      <c r="C63" s="64"/>
      <c r="D63" s="64"/>
      <c r="E63" s="67"/>
      <c r="F63" s="67"/>
      <c r="G63" s="67"/>
      <c r="H63" s="67"/>
      <c r="I63" s="68"/>
      <c r="J63" s="67"/>
      <c r="K63" s="67"/>
      <c r="L63" s="68"/>
      <c r="M63" s="67"/>
      <c r="N63" s="67"/>
      <c r="O63" s="67"/>
    </row>
    <row r="64" spans="2:15" ht="39" customHeight="1">
      <c r="B64" s="64"/>
      <c r="C64" s="64"/>
      <c r="D64" s="64"/>
      <c r="E64" s="67"/>
      <c r="F64" s="67"/>
      <c r="G64" s="67"/>
      <c r="H64" s="67"/>
      <c r="I64" s="68"/>
      <c r="J64" s="67"/>
      <c r="K64" s="67"/>
      <c r="L64" s="68"/>
      <c r="M64" s="67"/>
      <c r="N64" s="67"/>
      <c r="O64" s="67"/>
    </row>
    <row r="65" spans="2:15" ht="39" customHeight="1">
      <c r="B65" s="64"/>
      <c r="C65" s="64"/>
      <c r="D65" s="64"/>
      <c r="E65" s="67"/>
      <c r="F65" s="67"/>
      <c r="G65" s="67"/>
      <c r="H65" s="67"/>
      <c r="I65" s="68"/>
      <c r="J65" s="67"/>
      <c r="K65" s="67"/>
      <c r="L65" s="68"/>
      <c r="M65" s="67"/>
      <c r="N65" s="67"/>
      <c r="O65" s="67"/>
    </row>
    <row r="66" spans="2:15" ht="39" customHeight="1">
      <c r="B66" s="64"/>
      <c r="C66" s="64"/>
      <c r="D66" s="64"/>
      <c r="E66" s="67"/>
      <c r="F66" s="67"/>
      <c r="G66" s="67"/>
      <c r="H66" s="67"/>
      <c r="I66" s="68"/>
      <c r="J66" s="67"/>
      <c r="K66" s="67"/>
      <c r="L66" s="68"/>
      <c r="M66" s="67"/>
      <c r="N66" s="67"/>
      <c r="O66" s="67"/>
    </row>
    <row r="67" spans="2:15" ht="39" customHeight="1">
      <c r="B67" s="64"/>
      <c r="C67" s="64"/>
      <c r="D67" s="64"/>
      <c r="E67" s="67"/>
      <c r="F67" s="67"/>
      <c r="G67" s="67"/>
      <c r="H67" s="67"/>
      <c r="I67" s="68"/>
      <c r="J67" s="67"/>
      <c r="K67" s="67"/>
      <c r="L67" s="68"/>
      <c r="M67" s="67"/>
      <c r="N67" s="67"/>
      <c r="O67" s="67"/>
    </row>
    <row r="68" spans="2:15" ht="39" customHeight="1">
      <c r="B68" s="64"/>
      <c r="C68" s="64"/>
      <c r="D68" s="64"/>
      <c r="E68" s="67"/>
      <c r="F68" s="67"/>
      <c r="G68" s="67"/>
      <c r="H68" s="67"/>
      <c r="I68" s="68"/>
      <c r="J68" s="67"/>
      <c r="K68" s="67"/>
      <c r="L68" s="68"/>
      <c r="M68" s="67"/>
      <c r="N68" s="67"/>
      <c r="O68" s="67"/>
    </row>
    <row r="69" spans="2:15" ht="39" customHeight="1">
      <c r="B69" s="64"/>
      <c r="C69" s="64"/>
      <c r="D69" s="64"/>
      <c r="E69" s="67"/>
      <c r="F69" s="67"/>
      <c r="G69" s="67"/>
      <c r="H69" s="67"/>
      <c r="I69" s="68"/>
      <c r="J69" s="67"/>
      <c r="K69" s="67"/>
      <c r="L69" s="68"/>
      <c r="M69" s="67"/>
      <c r="N69" s="67"/>
      <c r="O69" s="67"/>
    </row>
    <row r="70" spans="2:15" ht="39" customHeight="1">
      <c r="B70" s="64"/>
      <c r="C70" s="64"/>
      <c r="D70" s="64"/>
      <c r="E70" s="67"/>
      <c r="F70" s="67"/>
      <c r="G70" s="67"/>
      <c r="H70" s="67"/>
      <c r="I70" s="68"/>
      <c r="J70" s="67"/>
      <c r="K70" s="67"/>
      <c r="L70" s="68"/>
      <c r="M70" s="67"/>
      <c r="N70" s="67"/>
      <c r="O70" s="67"/>
    </row>
    <row r="71" spans="2:15" ht="39" customHeight="1">
      <c r="B71" s="64"/>
      <c r="C71" s="64"/>
      <c r="D71" s="64"/>
      <c r="E71" s="67"/>
      <c r="F71" s="67"/>
      <c r="G71" s="67"/>
      <c r="H71" s="67"/>
      <c r="I71" s="68"/>
      <c r="J71" s="67"/>
      <c r="K71" s="67"/>
      <c r="L71" s="68"/>
      <c r="M71" s="67"/>
      <c r="N71" s="67"/>
      <c r="O71" s="67"/>
    </row>
    <row r="72" spans="2:15" ht="39" customHeight="1">
      <c r="B72" s="64"/>
      <c r="C72" s="64"/>
      <c r="D72" s="64"/>
      <c r="E72" s="67"/>
      <c r="F72" s="67"/>
      <c r="G72" s="67"/>
      <c r="H72" s="67"/>
      <c r="I72" s="68"/>
      <c r="J72" s="67"/>
      <c r="K72" s="67"/>
      <c r="L72" s="68"/>
      <c r="M72" s="67"/>
      <c r="N72" s="67"/>
      <c r="O72" s="67"/>
    </row>
    <row r="73" spans="2:15" ht="39" customHeight="1">
      <c r="B73" s="64"/>
      <c r="C73" s="64"/>
      <c r="D73" s="64"/>
      <c r="E73" s="67"/>
      <c r="F73" s="67"/>
      <c r="G73" s="67"/>
      <c r="H73" s="67"/>
      <c r="I73" s="68"/>
      <c r="J73" s="67"/>
      <c r="K73" s="67"/>
      <c r="L73" s="68"/>
      <c r="M73" s="67"/>
      <c r="N73" s="67"/>
      <c r="O73" s="67"/>
    </row>
    <row r="74" spans="2:15" ht="39" customHeight="1">
      <c r="B74" s="64"/>
      <c r="C74" s="64"/>
      <c r="D74" s="64"/>
      <c r="E74" s="67"/>
      <c r="F74" s="67"/>
      <c r="G74" s="67"/>
      <c r="H74" s="67"/>
      <c r="I74" s="68"/>
      <c r="J74" s="67"/>
      <c r="K74" s="67"/>
      <c r="L74" s="68"/>
      <c r="M74" s="67"/>
      <c r="N74" s="67"/>
      <c r="O74" s="67"/>
    </row>
    <row r="75" spans="2:15" ht="39" customHeight="1">
      <c r="B75" s="64"/>
      <c r="C75" s="64"/>
      <c r="D75" s="64"/>
      <c r="E75" s="67"/>
      <c r="F75" s="67"/>
      <c r="G75" s="67"/>
      <c r="H75" s="67"/>
      <c r="I75" s="68"/>
      <c r="J75" s="67"/>
      <c r="K75" s="67"/>
      <c r="L75" s="68"/>
      <c r="M75" s="67"/>
      <c r="N75" s="67"/>
      <c r="O75" s="67"/>
    </row>
    <row r="76" spans="2:15" ht="39" customHeight="1">
      <c r="B76" s="64"/>
      <c r="C76" s="64"/>
      <c r="D76" s="64"/>
      <c r="E76" s="67"/>
      <c r="F76" s="67"/>
      <c r="G76" s="67"/>
      <c r="H76" s="67"/>
      <c r="I76" s="68"/>
      <c r="J76" s="67"/>
      <c r="K76" s="67"/>
      <c r="L76" s="68"/>
      <c r="M76" s="67"/>
      <c r="N76" s="67"/>
      <c r="O76" s="67"/>
    </row>
    <row r="77" spans="2:15" ht="39" customHeight="1">
      <c r="B77" s="64"/>
      <c r="C77" s="64"/>
      <c r="D77" s="64"/>
      <c r="E77" s="67"/>
      <c r="F77" s="67"/>
      <c r="G77" s="67"/>
      <c r="H77" s="67"/>
      <c r="I77" s="68"/>
      <c r="J77" s="67"/>
      <c r="K77" s="67"/>
      <c r="L77" s="68"/>
      <c r="M77" s="67"/>
      <c r="N77" s="67"/>
      <c r="O77" s="67"/>
    </row>
    <row r="78" spans="2:15" ht="39" customHeight="1">
      <c r="B78" s="64"/>
      <c r="C78" s="64"/>
      <c r="D78" s="64"/>
      <c r="E78" s="67"/>
      <c r="F78" s="67"/>
      <c r="G78" s="67"/>
      <c r="H78" s="67"/>
      <c r="I78" s="68"/>
      <c r="J78" s="67"/>
      <c r="K78" s="67"/>
      <c r="L78" s="68"/>
      <c r="M78" s="67"/>
      <c r="N78" s="67"/>
      <c r="O78" s="67"/>
    </row>
    <row r="79" spans="2:15" ht="39" customHeight="1">
      <c r="B79" s="64"/>
      <c r="C79" s="64"/>
      <c r="D79" s="64"/>
      <c r="E79" s="67"/>
      <c r="F79" s="67"/>
      <c r="G79" s="67"/>
      <c r="H79" s="67"/>
      <c r="I79" s="68"/>
      <c r="J79" s="67"/>
      <c r="K79" s="67"/>
      <c r="L79" s="68"/>
      <c r="M79" s="67"/>
      <c r="N79" s="67"/>
      <c r="O79" s="67"/>
    </row>
    <row r="80" spans="2:15" ht="39" customHeight="1">
      <c r="B80" s="64"/>
      <c r="C80" s="64"/>
      <c r="D80" s="64"/>
      <c r="E80" s="67"/>
      <c r="F80" s="67"/>
      <c r="G80" s="67"/>
      <c r="H80" s="67"/>
      <c r="I80" s="68"/>
      <c r="J80" s="67"/>
      <c r="K80" s="67"/>
      <c r="L80" s="68"/>
      <c r="M80" s="67"/>
      <c r="N80" s="67"/>
      <c r="O80" s="67"/>
    </row>
    <row r="81" spans="2:15" ht="39" customHeight="1">
      <c r="B81" s="64"/>
      <c r="C81" s="64"/>
      <c r="D81" s="64"/>
      <c r="E81" s="67"/>
      <c r="F81" s="67"/>
      <c r="G81" s="67"/>
      <c r="H81" s="67"/>
      <c r="I81" s="68"/>
      <c r="J81" s="67"/>
      <c r="K81" s="67"/>
      <c r="L81" s="68"/>
      <c r="M81" s="67"/>
      <c r="N81" s="67"/>
      <c r="O81" s="67"/>
    </row>
    <row r="82" spans="2:15" ht="39" customHeight="1">
      <c r="B82" s="64"/>
      <c r="C82" s="64"/>
      <c r="D82" s="64"/>
      <c r="E82" s="67"/>
      <c r="F82" s="67"/>
      <c r="G82" s="67"/>
      <c r="H82" s="67"/>
      <c r="I82" s="68"/>
      <c r="J82" s="67"/>
      <c r="K82" s="67"/>
      <c r="L82" s="68"/>
      <c r="M82" s="67"/>
      <c r="N82" s="67"/>
      <c r="O82" s="67"/>
    </row>
    <row r="83" spans="2:15" ht="39" customHeight="1">
      <c r="B83" s="64"/>
      <c r="C83" s="64"/>
      <c r="D83" s="64"/>
      <c r="E83" s="67"/>
      <c r="F83" s="67"/>
      <c r="G83" s="67"/>
      <c r="H83" s="67"/>
      <c r="I83" s="68"/>
      <c r="J83" s="67"/>
      <c r="K83" s="67"/>
      <c r="L83" s="68"/>
      <c r="M83" s="67"/>
      <c r="N83" s="67"/>
      <c r="O83" s="67"/>
    </row>
    <row r="84" spans="2:15" ht="39" customHeight="1">
      <c r="B84" s="64"/>
      <c r="C84" s="64"/>
      <c r="D84" s="64"/>
      <c r="E84" s="67"/>
      <c r="F84" s="67"/>
      <c r="G84" s="67"/>
      <c r="H84" s="67"/>
      <c r="I84" s="68"/>
      <c r="J84" s="67"/>
      <c r="K84" s="67"/>
      <c r="L84" s="68"/>
      <c r="M84" s="67"/>
      <c r="N84" s="67"/>
      <c r="O84" s="67"/>
    </row>
    <row r="85" spans="2:15" ht="39" customHeight="1">
      <c r="B85" s="64"/>
      <c r="C85" s="64"/>
      <c r="D85" s="64"/>
      <c r="E85" s="67"/>
      <c r="F85" s="67"/>
      <c r="G85" s="67"/>
      <c r="H85" s="67"/>
      <c r="I85" s="68"/>
      <c r="J85" s="67"/>
      <c r="K85" s="67"/>
      <c r="L85" s="68"/>
      <c r="M85" s="67"/>
      <c r="N85" s="67"/>
      <c r="O85" s="67"/>
    </row>
    <row r="86" spans="2:15" ht="39" customHeight="1">
      <c r="B86" s="64"/>
      <c r="C86" s="64"/>
      <c r="D86" s="64"/>
      <c r="E86" s="67"/>
      <c r="F86" s="67"/>
      <c r="G86" s="67"/>
      <c r="H86" s="67"/>
      <c r="I86" s="68"/>
      <c r="J86" s="67"/>
      <c r="K86" s="67"/>
      <c r="L86" s="68"/>
      <c r="M86" s="67"/>
      <c r="N86" s="67"/>
      <c r="O86" s="67"/>
    </row>
    <row r="87" spans="2:15" ht="39" customHeight="1">
      <c r="B87" s="64"/>
      <c r="C87" s="64"/>
      <c r="D87" s="64"/>
      <c r="E87" s="67"/>
      <c r="F87" s="67"/>
      <c r="G87" s="67"/>
      <c r="H87" s="67"/>
      <c r="I87" s="68"/>
      <c r="J87" s="67"/>
      <c r="K87" s="67"/>
      <c r="L87" s="68"/>
      <c r="M87" s="67"/>
      <c r="N87" s="67"/>
      <c r="O87" s="67"/>
    </row>
    <row r="88" spans="2:15" ht="39" customHeight="1">
      <c r="B88" s="64"/>
      <c r="C88" s="64"/>
      <c r="D88" s="64"/>
      <c r="E88" s="67"/>
      <c r="F88" s="67"/>
      <c r="G88" s="67"/>
      <c r="H88" s="67"/>
      <c r="I88" s="68"/>
      <c r="J88" s="67"/>
      <c r="K88" s="67"/>
      <c r="L88" s="68"/>
      <c r="M88" s="67"/>
      <c r="N88" s="67"/>
      <c r="O88" s="67"/>
    </row>
    <row r="89" spans="2:15" ht="39" customHeight="1">
      <c r="B89" s="64"/>
      <c r="C89" s="64"/>
      <c r="D89" s="64"/>
      <c r="E89" s="67"/>
      <c r="F89" s="67"/>
      <c r="G89" s="67"/>
      <c r="H89" s="67"/>
      <c r="I89" s="68"/>
      <c r="J89" s="67"/>
      <c r="K89" s="67"/>
      <c r="L89" s="68"/>
      <c r="M89" s="67"/>
      <c r="N89" s="67"/>
      <c r="O89" s="67"/>
    </row>
    <row r="90" spans="2:15" ht="39" customHeight="1">
      <c r="B90" s="64"/>
      <c r="C90" s="64"/>
      <c r="D90" s="64"/>
      <c r="E90" s="67"/>
      <c r="F90" s="67"/>
      <c r="G90" s="67"/>
      <c r="H90" s="67"/>
      <c r="I90" s="68"/>
      <c r="J90" s="67"/>
      <c r="K90" s="67"/>
      <c r="L90" s="68"/>
      <c r="M90" s="67"/>
      <c r="N90" s="67"/>
      <c r="O90" s="67"/>
    </row>
    <row r="91" spans="2:15" ht="39" customHeight="1">
      <c r="B91" s="64"/>
      <c r="C91" s="64"/>
      <c r="D91" s="64"/>
      <c r="E91" s="67"/>
      <c r="F91" s="67"/>
      <c r="G91" s="67"/>
      <c r="H91" s="67"/>
      <c r="I91" s="68"/>
      <c r="J91" s="67"/>
      <c r="K91" s="67"/>
      <c r="L91" s="68"/>
      <c r="M91" s="67"/>
      <c r="N91" s="67"/>
      <c r="O91" s="67"/>
    </row>
    <row r="92" spans="2:15" ht="39" customHeight="1">
      <c r="B92" s="64"/>
      <c r="C92" s="64"/>
      <c r="D92" s="64"/>
      <c r="E92" s="67"/>
      <c r="F92" s="67"/>
      <c r="G92" s="67"/>
      <c r="H92" s="67"/>
      <c r="I92" s="68"/>
      <c r="J92" s="67"/>
      <c r="K92" s="67"/>
      <c r="L92" s="68"/>
      <c r="M92" s="67"/>
      <c r="N92" s="67"/>
      <c r="O92" s="67"/>
    </row>
    <row r="93" spans="2:15" ht="39" customHeight="1">
      <c r="B93" s="64"/>
      <c r="C93" s="64"/>
      <c r="D93" s="64"/>
      <c r="E93" s="67"/>
      <c r="F93" s="67"/>
      <c r="G93" s="67"/>
      <c r="H93" s="67"/>
      <c r="I93" s="68"/>
      <c r="J93" s="67"/>
      <c r="K93" s="67"/>
      <c r="L93" s="68"/>
      <c r="M93" s="67"/>
      <c r="N93" s="67"/>
      <c r="O93" s="67"/>
    </row>
    <row r="94" spans="2:15" ht="39" customHeight="1">
      <c r="B94" s="64"/>
      <c r="C94" s="64"/>
      <c r="D94" s="64"/>
      <c r="E94" s="67"/>
      <c r="F94" s="67"/>
      <c r="G94" s="67"/>
      <c r="H94" s="67"/>
      <c r="I94" s="68"/>
      <c r="J94" s="67"/>
      <c r="K94" s="67"/>
      <c r="L94" s="68"/>
      <c r="M94" s="67"/>
      <c r="N94" s="67"/>
      <c r="O94" s="67"/>
    </row>
    <row r="95" spans="2:15" ht="39" customHeight="1">
      <c r="B95" s="64"/>
      <c r="C95" s="64"/>
      <c r="D95" s="64"/>
      <c r="E95" s="67"/>
      <c r="F95" s="67"/>
      <c r="G95" s="67"/>
      <c r="H95" s="67"/>
      <c r="I95" s="68"/>
      <c r="J95" s="67"/>
      <c r="K95" s="67"/>
      <c r="L95" s="68"/>
      <c r="M95" s="67"/>
      <c r="N95" s="67"/>
      <c r="O95" s="67"/>
    </row>
    <row r="96" spans="2:15" ht="39" customHeight="1">
      <c r="B96" s="64"/>
      <c r="C96" s="64"/>
      <c r="D96" s="64"/>
      <c r="E96" s="67"/>
      <c r="F96" s="67"/>
      <c r="G96" s="67"/>
      <c r="H96" s="67"/>
      <c r="I96" s="68"/>
      <c r="J96" s="67"/>
      <c r="K96" s="67"/>
      <c r="L96" s="68"/>
      <c r="M96" s="67"/>
      <c r="N96" s="67"/>
      <c r="O96" s="67"/>
    </row>
    <row r="97" spans="2:15" ht="39" customHeight="1">
      <c r="B97" s="64"/>
      <c r="C97" s="64"/>
      <c r="D97" s="64"/>
      <c r="E97" s="67"/>
      <c r="F97" s="67"/>
      <c r="G97" s="67"/>
      <c r="H97" s="67"/>
      <c r="I97" s="68"/>
      <c r="J97" s="67"/>
      <c r="K97" s="67"/>
      <c r="L97" s="68"/>
      <c r="M97" s="67"/>
      <c r="N97" s="67"/>
      <c r="O97" s="67"/>
    </row>
    <row r="98" spans="2:15" ht="39" customHeight="1">
      <c r="B98" s="64"/>
      <c r="C98" s="64"/>
      <c r="D98" s="64"/>
      <c r="E98" s="67"/>
      <c r="F98" s="67"/>
      <c r="G98" s="67"/>
      <c r="H98" s="67"/>
      <c r="I98" s="68"/>
      <c r="J98" s="67"/>
      <c r="K98" s="67"/>
      <c r="L98" s="68"/>
      <c r="M98" s="67"/>
      <c r="N98" s="67"/>
      <c r="O98" s="67"/>
    </row>
    <row r="99" spans="2:15" ht="39" customHeight="1">
      <c r="B99" s="64"/>
      <c r="C99" s="64"/>
      <c r="D99" s="64"/>
      <c r="E99" s="67"/>
      <c r="F99" s="67"/>
      <c r="G99" s="67"/>
      <c r="H99" s="67"/>
      <c r="I99" s="68"/>
      <c r="J99" s="67"/>
      <c r="K99" s="67"/>
      <c r="L99" s="68"/>
      <c r="M99" s="67"/>
      <c r="N99" s="67"/>
      <c r="O99" s="67"/>
    </row>
    <row r="100" spans="2:15" ht="39" customHeight="1">
      <c r="B100" s="64"/>
      <c r="C100" s="64"/>
      <c r="D100" s="64"/>
      <c r="E100" s="67"/>
      <c r="F100" s="67"/>
      <c r="G100" s="67"/>
      <c r="H100" s="67"/>
      <c r="I100" s="68"/>
      <c r="J100" s="67"/>
      <c r="K100" s="67"/>
      <c r="L100" s="68"/>
      <c r="M100" s="67"/>
      <c r="N100" s="67"/>
      <c r="O100" s="67"/>
    </row>
    <row r="101" spans="2:15" ht="39" customHeight="1">
      <c r="B101" s="64"/>
      <c r="C101" s="64"/>
      <c r="D101" s="64"/>
      <c r="E101" s="67"/>
      <c r="F101" s="67"/>
      <c r="G101" s="67"/>
      <c r="H101" s="67"/>
      <c r="I101" s="68"/>
      <c r="J101" s="67"/>
      <c r="K101" s="67"/>
      <c r="L101" s="68"/>
      <c r="M101" s="67"/>
      <c r="N101" s="67"/>
      <c r="O101" s="67"/>
    </row>
    <row r="102" spans="2:15" ht="39" customHeight="1">
      <c r="B102" s="64"/>
      <c r="C102" s="64"/>
      <c r="D102" s="64"/>
      <c r="E102" s="67"/>
      <c r="F102" s="67"/>
      <c r="G102" s="67"/>
      <c r="H102" s="67"/>
      <c r="I102" s="68"/>
      <c r="J102" s="67"/>
      <c r="K102" s="67"/>
      <c r="L102" s="68"/>
      <c r="M102" s="67"/>
      <c r="N102" s="67"/>
      <c r="O102" s="67"/>
    </row>
    <row r="103" spans="2:15" ht="39" customHeight="1">
      <c r="B103" s="64"/>
      <c r="C103" s="64"/>
      <c r="D103" s="64"/>
      <c r="E103" s="67"/>
      <c r="F103" s="67"/>
      <c r="G103" s="67"/>
      <c r="H103" s="67"/>
      <c r="I103" s="68"/>
      <c r="J103" s="67"/>
      <c r="K103" s="67"/>
      <c r="L103" s="68"/>
      <c r="M103" s="67"/>
      <c r="N103" s="67"/>
      <c r="O103" s="67"/>
    </row>
    <row r="104" spans="2:15" ht="39" customHeight="1">
      <c r="B104" s="64"/>
      <c r="C104" s="64"/>
      <c r="D104" s="64"/>
      <c r="E104" s="67"/>
      <c r="F104" s="67"/>
      <c r="G104" s="67"/>
      <c r="H104" s="67"/>
      <c r="I104" s="68"/>
      <c r="J104" s="67"/>
      <c r="K104" s="67"/>
      <c r="L104" s="68"/>
      <c r="M104" s="67"/>
      <c r="N104" s="67"/>
      <c r="O104" s="67"/>
    </row>
    <row r="105" spans="2:15" ht="39" customHeight="1">
      <c r="B105" s="64"/>
      <c r="C105" s="64"/>
      <c r="D105" s="64"/>
      <c r="E105" s="67"/>
      <c r="F105" s="67"/>
      <c r="G105" s="67"/>
      <c r="H105" s="67"/>
      <c r="I105" s="68"/>
      <c r="J105" s="67"/>
      <c r="K105" s="67"/>
      <c r="L105" s="68"/>
      <c r="M105" s="67"/>
      <c r="N105" s="67"/>
      <c r="O105" s="67"/>
    </row>
    <row r="106" spans="2:15" ht="39" customHeight="1">
      <c r="B106" s="64"/>
      <c r="C106" s="64"/>
      <c r="D106" s="64"/>
      <c r="E106" s="67"/>
      <c r="F106" s="67"/>
      <c r="G106" s="67"/>
      <c r="H106" s="67"/>
      <c r="I106" s="68"/>
      <c r="J106" s="67"/>
      <c r="K106" s="67"/>
      <c r="L106" s="68"/>
      <c r="M106" s="67"/>
      <c r="N106" s="67"/>
      <c r="O106" s="67"/>
    </row>
    <row r="107" spans="2:15" ht="39" customHeight="1">
      <c r="B107" s="64"/>
      <c r="C107" s="64"/>
      <c r="D107" s="64"/>
      <c r="E107" s="67"/>
      <c r="F107" s="67"/>
      <c r="G107" s="67"/>
      <c r="H107" s="67"/>
      <c r="I107" s="68"/>
      <c r="J107" s="67"/>
      <c r="K107" s="67"/>
      <c r="L107" s="68"/>
      <c r="M107" s="67"/>
      <c r="N107" s="67"/>
      <c r="O107" s="67"/>
    </row>
    <row r="108" spans="2:15" ht="39" customHeight="1">
      <c r="B108" s="64"/>
      <c r="C108" s="64"/>
      <c r="D108" s="64"/>
      <c r="E108" s="67"/>
      <c r="F108" s="67"/>
      <c r="G108" s="67"/>
      <c r="H108" s="67"/>
      <c r="I108" s="68"/>
      <c r="J108" s="67"/>
      <c r="K108" s="67"/>
      <c r="L108" s="68"/>
      <c r="M108" s="67"/>
      <c r="N108" s="67"/>
      <c r="O108" s="67"/>
    </row>
    <row r="109" spans="2:15" ht="39" customHeight="1">
      <c r="B109" s="64"/>
      <c r="C109" s="64"/>
      <c r="D109" s="64"/>
      <c r="E109" s="67"/>
      <c r="F109" s="67"/>
      <c r="G109" s="67"/>
      <c r="H109" s="67"/>
      <c r="I109" s="68"/>
      <c r="J109" s="67"/>
      <c r="K109" s="67"/>
      <c r="L109" s="68"/>
      <c r="M109" s="67"/>
      <c r="N109" s="67"/>
      <c r="O109" s="67"/>
    </row>
    <row r="110" spans="2:15" ht="39" customHeight="1">
      <c r="B110" s="64"/>
      <c r="C110" s="64"/>
      <c r="D110" s="64"/>
      <c r="E110" s="67"/>
      <c r="F110" s="67"/>
      <c r="G110" s="67"/>
      <c r="H110" s="67"/>
      <c r="I110" s="68"/>
      <c r="J110" s="67"/>
      <c r="K110" s="67"/>
      <c r="L110" s="68"/>
      <c r="M110" s="67"/>
      <c r="N110" s="67"/>
      <c r="O110" s="67"/>
    </row>
    <row r="111" spans="2:15" ht="39" customHeight="1">
      <c r="B111" s="64"/>
      <c r="C111" s="64"/>
      <c r="D111" s="64"/>
      <c r="E111" s="67"/>
      <c r="F111" s="67"/>
      <c r="G111" s="67"/>
      <c r="H111" s="67"/>
      <c r="I111" s="68"/>
      <c r="J111" s="67"/>
      <c r="K111" s="67"/>
      <c r="L111" s="68"/>
      <c r="M111" s="67"/>
      <c r="N111" s="67"/>
      <c r="O111" s="67"/>
    </row>
    <row r="112" spans="2:15" ht="39" customHeight="1">
      <c r="B112" s="64"/>
      <c r="C112" s="64"/>
      <c r="D112" s="64"/>
      <c r="E112" s="67"/>
      <c r="F112" s="67"/>
      <c r="G112" s="67"/>
      <c r="H112" s="67"/>
      <c r="I112" s="68"/>
      <c r="J112" s="67"/>
      <c r="K112" s="67"/>
      <c r="L112" s="68"/>
      <c r="M112" s="67"/>
      <c r="N112" s="67"/>
      <c r="O112" s="67"/>
    </row>
    <row r="113" spans="2:15" ht="39" customHeight="1">
      <c r="B113" s="64"/>
      <c r="C113" s="64"/>
      <c r="D113" s="64"/>
      <c r="E113" s="67"/>
      <c r="F113" s="67"/>
      <c r="G113" s="67"/>
      <c r="H113" s="67"/>
      <c r="I113" s="68"/>
      <c r="J113" s="67"/>
      <c r="K113" s="67"/>
      <c r="L113" s="68"/>
      <c r="M113" s="67"/>
      <c r="N113" s="67"/>
      <c r="O113" s="67"/>
    </row>
    <row r="114" spans="2:15" ht="39" customHeight="1">
      <c r="B114" s="64"/>
      <c r="C114" s="64"/>
      <c r="D114" s="64"/>
      <c r="E114" s="67"/>
      <c r="F114" s="67"/>
      <c r="G114" s="67"/>
      <c r="H114" s="67"/>
      <c r="I114" s="68"/>
      <c r="J114" s="67"/>
      <c r="K114" s="67"/>
      <c r="L114" s="68"/>
      <c r="M114" s="67"/>
      <c r="N114" s="67"/>
      <c r="O114" s="67"/>
    </row>
    <row r="115" spans="2:15" ht="39" customHeight="1">
      <c r="B115" s="64"/>
      <c r="C115" s="64"/>
      <c r="D115" s="64"/>
      <c r="E115" s="67"/>
      <c r="F115" s="67"/>
      <c r="G115" s="67"/>
      <c r="H115" s="67"/>
      <c r="I115" s="68"/>
      <c r="J115" s="67"/>
      <c r="K115" s="67"/>
      <c r="L115" s="68"/>
      <c r="M115" s="67"/>
      <c r="N115" s="67"/>
      <c r="O115" s="67"/>
    </row>
    <row r="116" spans="2:15" ht="39" customHeight="1">
      <c r="B116" s="64"/>
      <c r="C116" s="64"/>
      <c r="D116" s="64"/>
      <c r="E116" s="67"/>
      <c r="F116" s="67"/>
      <c r="G116" s="67"/>
      <c r="H116" s="67"/>
      <c r="I116" s="68"/>
      <c r="J116" s="67"/>
      <c r="K116" s="67"/>
      <c r="L116" s="68"/>
      <c r="M116" s="67"/>
      <c r="N116" s="67"/>
      <c r="O116" s="67"/>
    </row>
    <row r="117" spans="2:15" ht="39" customHeight="1">
      <c r="B117" s="64"/>
      <c r="C117" s="64"/>
      <c r="D117" s="64"/>
      <c r="E117" s="67"/>
      <c r="F117" s="67"/>
      <c r="G117" s="67"/>
      <c r="H117" s="67"/>
      <c r="I117" s="68"/>
      <c r="J117" s="67"/>
      <c r="K117" s="67"/>
      <c r="L117" s="68"/>
      <c r="M117" s="67"/>
      <c r="N117" s="67"/>
      <c r="O117" s="67"/>
    </row>
    <row r="118" spans="2:15" s="58" customFormat="1" ht="39" customHeight="1">
      <c r="B118" s="72"/>
      <c r="C118" s="72"/>
      <c r="D118" s="72"/>
      <c r="E118" s="73"/>
      <c r="F118" s="73"/>
      <c r="G118" s="73"/>
      <c r="H118" s="73"/>
      <c r="I118" s="74"/>
      <c r="J118" s="73"/>
      <c r="K118" s="73"/>
      <c r="L118" s="74"/>
      <c r="M118" s="73"/>
      <c r="N118" s="73"/>
      <c r="O118" s="73"/>
    </row>
    <row r="119" spans="2:15" s="58" customFormat="1" ht="39" customHeight="1">
      <c r="B119" s="72"/>
      <c r="C119" s="72"/>
      <c r="D119" s="72"/>
      <c r="E119" s="73"/>
      <c r="F119" s="73"/>
      <c r="G119" s="73"/>
      <c r="H119" s="73"/>
      <c r="I119" s="74"/>
      <c r="J119" s="73"/>
      <c r="K119" s="73"/>
      <c r="L119" s="74"/>
      <c r="M119" s="73"/>
      <c r="N119" s="73"/>
      <c r="O119" s="73"/>
    </row>
    <row r="120" spans="2:15" s="58" customFormat="1" ht="39" customHeight="1">
      <c r="B120" s="72"/>
      <c r="C120" s="72"/>
      <c r="D120" s="72"/>
      <c r="E120" s="73"/>
      <c r="F120" s="73"/>
      <c r="G120" s="73"/>
      <c r="H120" s="73"/>
      <c r="I120" s="74"/>
      <c r="J120" s="73"/>
      <c r="K120" s="73"/>
      <c r="L120" s="74"/>
      <c r="M120" s="73"/>
      <c r="N120" s="73"/>
      <c r="O120" s="73"/>
    </row>
    <row r="121" spans="2:15" s="58" customFormat="1" ht="39" customHeight="1">
      <c r="B121" s="72"/>
      <c r="C121" s="72"/>
      <c r="D121" s="72"/>
      <c r="E121" s="73"/>
      <c r="F121" s="73"/>
      <c r="G121" s="73"/>
      <c r="H121" s="73"/>
      <c r="I121" s="74"/>
      <c r="J121" s="73"/>
      <c r="K121" s="73"/>
      <c r="L121" s="74"/>
      <c r="M121" s="73"/>
      <c r="N121" s="73"/>
      <c r="O121" s="73"/>
    </row>
    <row r="122" spans="2:15" ht="39" customHeight="1">
      <c r="B122" s="64"/>
      <c r="C122" s="64"/>
      <c r="D122" s="64"/>
      <c r="E122" s="67"/>
      <c r="F122" s="67"/>
      <c r="G122" s="67"/>
      <c r="H122" s="67"/>
      <c r="I122" s="68"/>
      <c r="J122" s="67"/>
      <c r="K122" s="67"/>
      <c r="L122" s="68"/>
      <c r="M122" s="67"/>
      <c r="N122" s="67"/>
      <c r="O122" s="67"/>
    </row>
    <row r="123" spans="2:15" ht="39" customHeight="1">
      <c r="B123" s="64"/>
      <c r="C123" s="64"/>
      <c r="D123" s="64"/>
      <c r="E123" s="67"/>
      <c r="F123" s="67"/>
      <c r="G123" s="67"/>
      <c r="H123" s="67"/>
      <c r="I123" s="68"/>
      <c r="J123" s="67"/>
      <c r="K123" s="67"/>
      <c r="L123" s="68"/>
      <c r="M123" s="67"/>
      <c r="N123" s="67"/>
      <c r="O123" s="67"/>
    </row>
    <row r="124" spans="2:15" ht="39" customHeight="1">
      <c r="B124" s="64"/>
      <c r="C124" s="64"/>
      <c r="D124" s="64"/>
      <c r="E124" s="67"/>
      <c r="F124" s="67"/>
      <c r="G124" s="67"/>
      <c r="H124" s="67"/>
      <c r="I124" s="68"/>
      <c r="J124" s="67"/>
      <c r="K124" s="67"/>
      <c r="L124" s="68"/>
      <c r="M124" s="67"/>
      <c r="N124" s="67"/>
      <c r="O124" s="67"/>
    </row>
    <row r="125" spans="2:15" ht="39" customHeight="1">
      <c r="B125" s="64"/>
      <c r="C125" s="64"/>
      <c r="D125" s="64"/>
      <c r="E125" s="67"/>
      <c r="F125" s="67"/>
      <c r="G125" s="67"/>
      <c r="H125" s="67"/>
      <c r="I125" s="68"/>
      <c r="J125" s="67"/>
      <c r="K125" s="67"/>
      <c r="L125" s="68"/>
      <c r="M125" s="67"/>
      <c r="N125" s="67"/>
      <c r="O125" s="67"/>
    </row>
    <row r="126" spans="2:15" ht="39" customHeight="1">
      <c r="B126" s="64"/>
      <c r="C126" s="64"/>
      <c r="D126" s="64"/>
      <c r="E126" s="67"/>
      <c r="F126" s="67"/>
      <c r="G126" s="67"/>
      <c r="H126" s="67"/>
      <c r="I126" s="68"/>
      <c r="J126" s="67"/>
      <c r="K126" s="67"/>
      <c r="L126" s="68"/>
      <c r="M126" s="67"/>
      <c r="N126" s="67"/>
      <c r="O126" s="67"/>
    </row>
    <row r="127" spans="2:15" ht="39" customHeight="1">
      <c r="B127" s="64"/>
      <c r="C127" s="64"/>
      <c r="D127" s="64"/>
      <c r="E127" s="67"/>
      <c r="F127" s="67"/>
      <c r="G127" s="67"/>
      <c r="H127" s="67"/>
      <c r="I127" s="68"/>
      <c r="J127" s="67"/>
      <c r="K127" s="67"/>
      <c r="L127" s="68"/>
      <c r="M127" s="67"/>
      <c r="N127" s="67"/>
      <c r="O127" s="67"/>
    </row>
    <row r="128" spans="2:15" ht="39" customHeight="1">
      <c r="B128" s="64"/>
      <c r="C128" s="64"/>
      <c r="D128" s="64"/>
      <c r="E128" s="67"/>
      <c r="F128" s="67"/>
      <c r="G128" s="67"/>
      <c r="H128" s="67"/>
      <c r="I128" s="68"/>
      <c r="J128" s="67"/>
      <c r="K128" s="67"/>
      <c r="L128" s="68"/>
      <c r="M128" s="67"/>
      <c r="N128" s="67"/>
      <c r="O128" s="67"/>
    </row>
    <row r="129" spans="2:15" ht="39" customHeight="1">
      <c r="B129" s="64"/>
      <c r="C129" s="64"/>
      <c r="D129" s="64"/>
      <c r="E129" s="67"/>
      <c r="F129" s="67"/>
      <c r="G129" s="67"/>
      <c r="H129" s="67"/>
      <c r="I129" s="68"/>
      <c r="J129" s="67"/>
      <c r="K129" s="67"/>
      <c r="L129" s="68"/>
      <c r="M129" s="67"/>
      <c r="N129" s="67"/>
      <c r="O129" s="67"/>
    </row>
    <row r="130" spans="2:15" ht="39" customHeight="1">
      <c r="B130" s="64"/>
      <c r="C130" s="64"/>
      <c r="D130" s="64"/>
      <c r="E130" s="67"/>
      <c r="F130" s="67"/>
      <c r="G130" s="67"/>
      <c r="H130" s="67"/>
      <c r="I130" s="68"/>
      <c r="J130" s="67"/>
      <c r="K130" s="67"/>
      <c r="L130" s="68"/>
      <c r="M130" s="67"/>
      <c r="N130" s="67"/>
      <c r="O130" s="67"/>
    </row>
    <row r="131" spans="2:15" ht="39" customHeight="1">
      <c r="B131" s="64"/>
      <c r="C131" s="75"/>
      <c r="D131" s="75"/>
      <c r="E131" s="67"/>
      <c r="F131" s="67"/>
      <c r="G131" s="67"/>
      <c r="H131" s="67"/>
      <c r="I131" s="68"/>
      <c r="J131" s="67"/>
      <c r="K131" s="67"/>
      <c r="L131" s="68"/>
      <c r="M131" s="67"/>
      <c r="N131" s="67"/>
      <c r="O131" s="67"/>
    </row>
    <row r="132" spans="2:15" ht="39" customHeight="1">
      <c r="B132" s="64"/>
      <c r="C132" s="67"/>
      <c r="D132" s="67"/>
      <c r="E132" s="67"/>
      <c r="F132" s="67"/>
      <c r="G132" s="67"/>
      <c r="H132" s="67"/>
      <c r="I132" s="68"/>
      <c r="J132" s="67"/>
      <c r="K132" s="67"/>
      <c r="L132" s="68"/>
      <c r="M132" s="67"/>
      <c r="N132" s="67"/>
      <c r="O132" s="67"/>
    </row>
    <row r="133" spans="2:15" ht="39" customHeight="1">
      <c r="B133" s="64"/>
      <c r="C133" s="76"/>
      <c r="D133" s="76"/>
      <c r="E133" s="67"/>
      <c r="F133" s="67"/>
      <c r="G133" s="67"/>
      <c r="H133" s="67"/>
      <c r="I133" s="68"/>
      <c r="J133" s="67"/>
      <c r="K133" s="67"/>
      <c r="L133" s="68"/>
      <c r="M133" s="67"/>
      <c r="N133" s="67"/>
      <c r="O133" s="67"/>
    </row>
    <row r="134" spans="2:15" ht="66" customHeight="1">
      <c r="B134" s="64"/>
      <c r="C134" s="76"/>
      <c r="D134" s="76"/>
      <c r="E134" s="67"/>
      <c r="F134" s="67"/>
      <c r="G134" s="67"/>
      <c r="H134" s="67"/>
      <c r="I134" s="68"/>
      <c r="J134" s="67"/>
      <c r="K134" s="67"/>
      <c r="L134" s="68"/>
      <c r="M134" s="67"/>
      <c r="N134" s="67"/>
      <c r="O134" s="67"/>
    </row>
    <row r="135" spans="2:15" ht="39" customHeight="1">
      <c r="B135" s="64"/>
      <c r="C135" s="76"/>
      <c r="D135" s="76"/>
      <c r="E135" s="67"/>
      <c r="F135" s="67"/>
      <c r="G135" s="67"/>
      <c r="H135" s="67"/>
      <c r="I135" s="68"/>
      <c r="J135" s="67"/>
      <c r="K135" s="67"/>
      <c r="L135" s="68"/>
      <c r="M135" s="67"/>
      <c r="N135" s="67"/>
      <c r="O135" s="67"/>
    </row>
    <row r="136" spans="2:15" ht="39" customHeight="1">
      <c r="B136" s="64"/>
      <c r="C136" s="76"/>
      <c r="D136" s="76"/>
      <c r="E136" s="67"/>
      <c r="F136" s="67"/>
      <c r="G136" s="67"/>
      <c r="H136" s="67"/>
      <c r="I136" s="68"/>
      <c r="J136" s="67"/>
      <c r="K136" s="67"/>
      <c r="L136" s="68"/>
      <c r="M136" s="67"/>
      <c r="N136" s="67"/>
      <c r="O136" s="67"/>
    </row>
    <row r="137" spans="2:15" ht="39" customHeight="1">
      <c r="B137" s="64"/>
      <c r="C137" s="76"/>
      <c r="D137" s="76"/>
      <c r="E137" s="67"/>
      <c r="F137" s="67"/>
      <c r="G137" s="67"/>
      <c r="H137" s="67"/>
      <c r="I137" s="68"/>
      <c r="J137" s="67"/>
      <c r="K137" s="67"/>
      <c r="L137" s="68"/>
      <c r="M137" s="67"/>
      <c r="N137" s="67"/>
      <c r="O137" s="67"/>
    </row>
    <row r="138" spans="2:15" ht="39" customHeight="1">
      <c r="B138" s="64"/>
      <c r="C138" s="76"/>
      <c r="D138" s="76"/>
      <c r="E138" s="67"/>
      <c r="F138" s="67"/>
      <c r="G138" s="67"/>
      <c r="H138" s="67"/>
      <c r="I138" s="68"/>
      <c r="J138" s="67"/>
      <c r="K138" s="67"/>
      <c r="L138" s="68"/>
      <c r="M138" s="67"/>
      <c r="N138" s="67"/>
      <c r="O138" s="67"/>
    </row>
    <row r="139" spans="2:15" ht="39" customHeight="1">
      <c r="B139" s="64"/>
      <c r="C139" s="76"/>
      <c r="D139" s="76"/>
      <c r="E139" s="67"/>
      <c r="F139" s="67"/>
      <c r="G139" s="67"/>
      <c r="H139" s="67"/>
      <c r="I139" s="68"/>
      <c r="J139" s="67"/>
      <c r="K139" s="67"/>
      <c r="L139" s="68"/>
      <c r="M139" s="67"/>
      <c r="N139" s="67"/>
      <c r="O139" s="67"/>
    </row>
    <row r="140" spans="2:15" ht="39" customHeight="1">
      <c r="B140" s="64"/>
      <c r="C140" s="76"/>
      <c r="D140" s="76"/>
      <c r="E140" s="67"/>
      <c r="F140" s="67"/>
      <c r="G140" s="67"/>
      <c r="H140" s="67"/>
      <c r="I140" s="68"/>
      <c r="J140" s="67"/>
      <c r="K140" s="67"/>
      <c r="L140" s="68"/>
      <c r="M140" s="67"/>
      <c r="N140" s="67"/>
      <c r="O140" s="67"/>
    </row>
    <row r="141" spans="2:15" ht="39" customHeight="1">
      <c r="B141" s="64"/>
      <c r="C141" s="76"/>
      <c r="D141" s="76"/>
      <c r="E141" s="67"/>
      <c r="F141" s="67"/>
      <c r="G141" s="67"/>
      <c r="H141" s="67"/>
      <c r="I141" s="68"/>
      <c r="J141" s="67"/>
      <c r="K141" s="67"/>
      <c r="L141" s="68"/>
      <c r="M141" s="67"/>
      <c r="N141" s="67"/>
      <c r="O141" s="67"/>
    </row>
    <row r="142" spans="2:15">
      <c r="B142" s="64"/>
      <c r="C142" s="75"/>
      <c r="D142" s="75"/>
      <c r="E142" s="67"/>
      <c r="F142" s="67"/>
      <c r="G142" s="67"/>
      <c r="H142" s="67"/>
      <c r="I142" s="68"/>
      <c r="J142" s="67"/>
      <c r="K142" s="67"/>
      <c r="L142" s="68"/>
      <c r="M142" s="67"/>
      <c r="N142" s="67"/>
      <c r="O142" s="67"/>
    </row>
    <row r="143" spans="2:15" ht="45" customHeight="1">
      <c r="B143" s="64"/>
      <c r="C143" s="75"/>
      <c r="D143" s="75"/>
      <c r="E143" s="67"/>
      <c r="F143" s="67"/>
      <c r="G143" s="67"/>
      <c r="H143" s="67"/>
      <c r="I143" s="68"/>
      <c r="J143" s="67"/>
      <c r="K143" s="67"/>
      <c r="L143" s="68"/>
      <c r="M143" s="67"/>
      <c r="N143" s="67"/>
      <c r="O143" s="67"/>
    </row>
    <row r="144" spans="2:15" ht="38" customHeight="1">
      <c r="B144" s="64"/>
      <c r="C144" s="75"/>
      <c r="D144" s="75"/>
      <c r="E144" s="67"/>
      <c r="F144" s="67"/>
      <c r="G144" s="67"/>
      <c r="H144" s="67"/>
      <c r="I144" s="68"/>
      <c r="J144" s="67"/>
      <c r="K144" s="67"/>
      <c r="L144" s="68"/>
      <c r="M144" s="67"/>
      <c r="N144" s="67"/>
      <c r="O144" s="67"/>
    </row>
    <row r="145" spans="2:15" ht="38" customHeight="1">
      <c r="B145" s="64"/>
      <c r="C145" s="75"/>
      <c r="D145" s="75"/>
      <c r="E145" s="67"/>
      <c r="F145" s="67"/>
      <c r="G145" s="67"/>
      <c r="H145" s="67"/>
      <c r="I145" s="68"/>
      <c r="J145" s="67"/>
      <c r="K145" s="68"/>
      <c r="L145" s="68"/>
      <c r="M145" s="67"/>
      <c r="N145" s="67"/>
      <c r="O145" s="67"/>
    </row>
    <row r="146" spans="2:15" ht="38" customHeight="1">
      <c r="B146" s="64"/>
      <c r="C146" s="67"/>
      <c r="D146" s="67"/>
      <c r="E146" s="67"/>
      <c r="F146" s="67"/>
      <c r="G146" s="67"/>
      <c r="H146" s="67"/>
      <c r="I146" s="68"/>
      <c r="J146" s="67"/>
      <c r="K146" s="67"/>
      <c r="L146" s="68"/>
      <c r="M146" s="67"/>
      <c r="N146" s="67"/>
      <c r="O146" s="67"/>
    </row>
    <row r="147" spans="2:15" ht="38" customHeight="1">
      <c r="B147" s="67"/>
      <c r="C147" s="67"/>
      <c r="D147" s="67"/>
      <c r="E147" s="67"/>
      <c r="F147" s="67"/>
      <c r="G147" s="67"/>
      <c r="H147" s="67"/>
      <c r="I147" s="68"/>
      <c r="J147" s="67"/>
      <c r="K147" s="67"/>
      <c r="L147" s="68"/>
      <c r="M147" s="67"/>
      <c r="N147" s="67"/>
      <c r="O147" s="67"/>
    </row>
    <row r="148" spans="2:15" ht="38" customHeight="1">
      <c r="B148" s="67"/>
      <c r="C148" s="67"/>
      <c r="D148" s="67"/>
      <c r="E148" s="67"/>
      <c r="F148" s="67"/>
      <c r="G148" s="67"/>
      <c r="H148" s="67"/>
      <c r="I148" s="68"/>
      <c r="J148" s="67"/>
      <c r="K148" s="67"/>
      <c r="L148" s="68"/>
      <c r="M148" s="67"/>
      <c r="N148" s="67"/>
      <c r="O148" s="67"/>
    </row>
  </sheetData>
  <mergeCells count="2">
    <mergeCell ref="B1:C1"/>
    <mergeCell ref="B2:C2"/>
  </mergeCells>
  <phoneticPr fontId="41" type="noConversion"/>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L107"/>
  <sheetViews>
    <sheetView showGridLines="0" zoomScale="60" zoomScaleNormal="66" workbookViewId="0">
      <selection activeCell="I20" sqref="I20"/>
    </sheetView>
  </sheetViews>
  <sheetFormatPr baseColWidth="10" defaultColWidth="6.6640625" defaultRowHeight="15" customHeight="1" outlineLevelRow="1"/>
  <cols>
    <col min="1" max="1" width="13.33203125" style="24" customWidth="1"/>
    <col min="2" max="2" width="7.1640625" style="24" customWidth="1"/>
    <col min="3" max="3" width="15.83203125" style="24" customWidth="1"/>
    <col min="4" max="4" width="30.5" style="24" customWidth="1"/>
    <col min="5" max="5" width="37.33203125" style="24" customWidth="1"/>
    <col min="6" max="6" width="17.6640625" style="24" customWidth="1"/>
    <col min="7" max="7" width="30" style="24" customWidth="1"/>
    <col min="8" max="8" width="16" style="24" customWidth="1"/>
    <col min="9" max="9" width="18.33203125" style="24" customWidth="1"/>
    <col min="10" max="10" width="17.33203125" style="24" customWidth="1"/>
    <col min="11" max="11" width="21.1640625" style="24" customWidth="1"/>
    <col min="12" max="12" width="17.1640625" style="24" customWidth="1"/>
    <col min="13" max="13" width="6.6640625" style="24" customWidth="1"/>
    <col min="14" max="16384" width="6.6640625" style="24"/>
  </cols>
  <sheetData>
    <row r="1" spans="1:12" ht="35.25" customHeight="1">
      <c r="A1" s="215" t="s">
        <v>94</v>
      </c>
      <c r="B1" s="216"/>
      <c r="C1" s="217"/>
      <c r="D1" s="217"/>
      <c r="E1" s="217"/>
      <c r="F1" s="218"/>
      <c r="G1" s="217"/>
      <c r="H1" s="217"/>
      <c r="I1" s="217"/>
      <c r="J1" s="217"/>
      <c r="K1" s="217"/>
      <c r="L1" s="219"/>
    </row>
    <row r="3" spans="1:12" s="33" customFormat="1" ht="75" customHeight="1">
      <c r="A3" s="34" t="str">
        <f>'Top Event'!B4</f>
        <v>SW_DF_001</v>
      </c>
      <c r="B3" s="35"/>
      <c r="C3" s="36" t="str">
        <f>'Top Event'!C4</f>
        <v>SWC1: SWC2 &amp; SWC3</v>
      </c>
      <c r="D3" s="35" t="str">
        <f>'Top Event'!D4</f>
        <v>SWC2 FUNCTION &amp;
SWC3 FUNCTION</v>
      </c>
      <c r="E3" s="44" t="str">
        <f>'Top Event'!E4</f>
        <v>D(D) &amp; QM(D)</v>
      </c>
      <c r="F3" s="45"/>
      <c r="G3" s="45"/>
      <c r="H3" s="46"/>
      <c r="I3" s="46"/>
      <c r="J3" s="54"/>
      <c r="K3" s="54"/>
      <c r="L3" s="54"/>
    </row>
    <row r="4" spans="1:12" s="33" customFormat="1" ht="37.25" customHeight="1">
      <c r="A4" s="37"/>
      <c r="B4" s="37" t="s">
        <v>95</v>
      </c>
      <c r="C4" s="38" t="s">
        <v>96</v>
      </c>
      <c r="D4" s="38" t="s">
        <v>97</v>
      </c>
      <c r="E4" s="38" t="s">
        <v>98</v>
      </c>
      <c r="F4" s="38" t="s">
        <v>99</v>
      </c>
      <c r="G4" s="38" t="s">
        <v>100</v>
      </c>
      <c r="H4" s="47" t="s">
        <v>101</v>
      </c>
      <c r="I4" s="47" t="s">
        <v>102</v>
      </c>
      <c r="J4" s="38" t="s">
        <v>103</v>
      </c>
      <c r="K4" s="38" t="s">
        <v>104</v>
      </c>
      <c r="L4" s="55" t="s">
        <v>105</v>
      </c>
    </row>
    <row r="5" spans="1:12" s="33" customFormat="1" ht="64" outlineLevel="1">
      <c r="A5" s="37" t="str">
        <f>A3&amp;"_"&amp;B5</f>
        <v>SW_DF_001_1</v>
      </c>
      <c r="B5" s="39">
        <v>1</v>
      </c>
      <c r="C5" s="220" t="s">
        <v>106</v>
      </c>
      <c r="D5" s="226" t="s">
        <v>107</v>
      </c>
      <c r="E5" s="48" t="s">
        <v>108</v>
      </c>
      <c r="F5" s="49" t="s">
        <v>109</v>
      </c>
      <c r="G5" s="50"/>
      <c r="H5" s="51"/>
      <c r="I5" s="51"/>
      <c r="J5" s="56"/>
      <c r="K5" s="56"/>
      <c r="L5" s="56"/>
    </row>
    <row r="6" spans="1:12" s="33" customFormat="1" ht="64" outlineLevel="1">
      <c r="A6" s="37" t="str">
        <f>A3&amp;"_"&amp;B6</f>
        <v>SW_DF_001_2</v>
      </c>
      <c r="B6" s="40">
        <v>2</v>
      </c>
      <c r="C6" s="221"/>
      <c r="D6" s="227"/>
      <c r="E6" s="48" t="s">
        <v>110</v>
      </c>
      <c r="F6" s="48" t="s">
        <v>111</v>
      </c>
      <c r="G6" s="52" t="s">
        <v>112</v>
      </c>
      <c r="H6" s="51" t="s">
        <v>113</v>
      </c>
      <c r="I6" s="51" t="s">
        <v>114</v>
      </c>
      <c r="J6" s="56" t="s">
        <v>115</v>
      </c>
      <c r="K6" s="56" t="s">
        <v>116</v>
      </c>
      <c r="L6" s="56"/>
    </row>
    <row r="7" spans="1:12" s="33" customFormat="1" ht="32" outlineLevel="1">
      <c r="A7" s="37" t="str">
        <f>A3&amp;"_"&amp;B7</f>
        <v>SW_DF_001_3</v>
      </c>
      <c r="B7" s="39">
        <v>3</v>
      </c>
      <c r="C7" s="221"/>
      <c r="D7" s="227"/>
      <c r="E7" s="48" t="s">
        <v>117</v>
      </c>
      <c r="F7" s="49"/>
      <c r="G7" s="50"/>
      <c r="H7" s="51"/>
      <c r="I7" s="51"/>
      <c r="J7" s="56"/>
      <c r="K7" s="56"/>
      <c r="L7" s="56"/>
    </row>
    <row r="8" spans="1:12" s="33" customFormat="1" ht="32" outlineLevel="1">
      <c r="A8" s="37" t="str">
        <f>A3&amp;"_"&amp;B8</f>
        <v>SW_DF_001_4</v>
      </c>
      <c r="B8" s="40">
        <v>4</v>
      </c>
      <c r="C8" s="221"/>
      <c r="D8" s="227"/>
      <c r="E8" s="48" t="s">
        <v>118</v>
      </c>
      <c r="F8" s="49"/>
      <c r="G8" s="50"/>
      <c r="H8" s="51"/>
      <c r="I8" s="51"/>
      <c r="J8" s="56"/>
      <c r="K8" s="56"/>
      <c r="L8" s="56"/>
    </row>
    <row r="9" spans="1:12" s="33" customFormat="1" ht="32" outlineLevel="1">
      <c r="A9" s="37" t="str">
        <f>A3&amp;"_"&amp;B9</f>
        <v>SW_DF_001_5</v>
      </c>
      <c r="B9" s="39">
        <v>5</v>
      </c>
      <c r="C9" s="221"/>
      <c r="D9" s="227"/>
      <c r="E9" s="48" t="s">
        <v>119</v>
      </c>
      <c r="F9" s="49"/>
      <c r="G9" s="50"/>
      <c r="H9" s="51"/>
      <c r="I9" s="51"/>
      <c r="J9" s="56"/>
      <c r="K9" s="56"/>
      <c r="L9" s="56"/>
    </row>
    <row r="10" spans="1:12" s="33" customFormat="1" ht="32" outlineLevel="1">
      <c r="A10" s="37" t="str">
        <f>A3&amp;"_"&amp;B10</f>
        <v>SW_DF_001_6</v>
      </c>
      <c r="B10" s="40">
        <v>6</v>
      </c>
      <c r="C10" s="221"/>
      <c r="D10" s="227"/>
      <c r="E10" s="48" t="s">
        <v>120</v>
      </c>
      <c r="F10" s="49"/>
      <c r="G10" s="50"/>
      <c r="H10" s="51"/>
      <c r="I10" s="51"/>
      <c r="J10" s="56"/>
      <c r="K10" s="56"/>
      <c r="L10" s="56"/>
    </row>
    <row r="11" spans="1:12" s="33" customFormat="1" ht="32" outlineLevel="1">
      <c r="A11" s="37" t="str">
        <f>A3&amp;"_"&amp;B11</f>
        <v>SW_DF_001_7</v>
      </c>
      <c r="B11" s="39">
        <v>7</v>
      </c>
      <c r="C11" s="221"/>
      <c r="D11" s="227"/>
      <c r="E11" s="48" t="s">
        <v>121</v>
      </c>
      <c r="F11" s="49"/>
      <c r="G11" s="50"/>
      <c r="H11" s="51"/>
      <c r="I11" s="51"/>
      <c r="J11" s="56"/>
      <c r="K11" s="56"/>
      <c r="L11" s="56"/>
    </row>
    <row r="12" spans="1:12" s="33" customFormat="1" ht="32" outlineLevel="1">
      <c r="A12" s="37" t="str">
        <f>A3&amp;"_"&amp;B12</f>
        <v>SW_DF_001_8</v>
      </c>
      <c r="B12" s="40">
        <v>8</v>
      </c>
      <c r="C12" s="221"/>
      <c r="D12" s="227"/>
      <c r="E12" s="48" t="s">
        <v>122</v>
      </c>
      <c r="F12" s="49"/>
      <c r="G12" s="50"/>
      <c r="H12" s="51"/>
      <c r="I12" s="51"/>
      <c r="J12" s="56"/>
      <c r="K12" s="56"/>
      <c r="L12" s="56"/>
    </row>
    <row r="13" spans="1:12" s="33" customFormat="1" ht="16" outlineLevel="1">
      <c r="A13" s="37" t="str">
        <f>A3&amp;"_"&amp;B13</f>
        <v>SW_DF_001_9</v>
      </c>
      <c r="B13" s="39">
        <v>9</v>
      </c>
      <c r="C13" s="222"/>
      <c r="D13" s="228"/>
      <c r="E13" s="48" t="s">
        <v>123</v>
      </c>
      <c r="F13" s="49"/>
      <c r="G13" s="50"/>
      <c r="H13" s="51"/>
      <c r="I13" s="51"/>
      <c r="J13" s="56"/>
      <c r="K13" s="56"/>
      <c r="L13" s="56"/>
    </row>
    <row r="14" spans="1:12" s="33" customFormat="1" ht="32" outlineLevel="1">
      <c r="A14" s="37" t="str">
        <f>A3&amp;"_"&amp;B14</f>
        <v>SW_DF_001_10</v>
      </c>
      <c r="B14" s="40">
        <v>10</v>
      </c>
      <c r="C14" s="223" t="s">
        <v>124</v>
      </c>
      <c r="D14" s="223" t="s">
        <v>125</v>
      </c>
      <c r="E14" s="48" t="s">
        <v>126</v>
      </c>
      <c r="F14" s="49"/>
      <c r="G14" s="50"/>
      <c r="H14" s="51"/>
      <c r="I14" s="51"/>
      <c r="J14" s="56"/>
      <c r="K14" s="56"/>
      <c r="L14" s="56"/>
    </row>
    <row r="15" spans="1:12" s="33" customFormat="1" ht="32" outlineLevel="1">
      <c r="A15" s="37" t="str">
        <f>A3&amp;"_"&amp;B15</f>
        <v>SW_DF_001_11</v>
      </c>
      <c r="B15" s="39">
        <v>11</v>
      </c>
      <c r="C15" s="224"/>
      <c r="D15" s="224"/>
      <c r="E15" s="48" t="s">
        <v>127</v>
      </c>
      <c r="F15" s="49"/>
      <c r="G15" s="50"/>
      <c r="H15" s="51"/>
      <c r="I15" s="51"/>
      <c r="J15" s="56"/>
      <c r="K15" s="56"/>
      <c r="L15" s="56"/>
    </row>
    <row r="16" spans="1:12" s="33" customFormat="1" ht="32" outlineLevel="1">
      <c r="A16" s="37" t="str">
        <f>A3&amp;"_"&amp;B16</f>
        <v>SW_DF_001_12</v>
      </c>
      <c r="B16" s="40">
        <v>12</v>
      </c>
      <c r="C16" s="224"/>
      <c r="D16" s="224"/>
      <c r="E16" s="48" t="s">
        <v>128</v>
      </c>
      <c r="F16" s="49"/>
      <c r="G16" s="50"/>
      <c r="H16" s="51"/>
      <c r="I16" s="51"/>
      <c r="J16" s="56"/>
      <c r="K16" s="56"/>
      <c r="L16" s="56"/>
    </row>
    <row r="17" spans="1:12" s="33" customFormat="1" ht="32" outlineLevel="1">
      <c r="A17" s="37" t="str">
        <f>A3&amp;"_"&amp;B17</f>
        <v>SW_DF_001_13</v>
      </c>
      <c r="B17" s="39">
        <v>13</v>
      </c>
      <c r="C17" s="224"/>
      <c r="D17" s="224"/>
      <c r="E17" s="48" t="s">
        <v>129</v>
      </c>
      <c r="F17" s="49"/>
      <c r="G17" s="50"/>
      <c r="H17" s="51"/>
      <c r="I17" s="51"/>
      <c r="J17" s="56"/>
      <c r="K17" s="56"/>
      <c r="L17" s="56"/>
    </row>
    <row r="18" spans="1:12" s="33" customFormat="1" ht="16" outlineLevel="1">
      <c r="A18" s="37" t="str">
        <f>A3&amp;"_"&amp;B18</f>
        <v>SW_DF_001_14</v>
      </c>
      <c r="B18" s="40">
        <v>14</v>
      </c>
      <c r="C18" s="224"/>
      <c r="D18" s="224"/>
      <c r="E18" s="48" t="s">
        <v>130</v>
      </c>
      <c r="F18" s="49"/>
      <c r="G18" s="50"/>
      <c r="H18" s="51"/>
      <c r="I18" s="51"/>
      <c r="J18" s="56"/>
      <c r="K18" s="56"/>
      <c r="L18" s="56"/>
    </row>
    <row r="19" spans="1:12" s="33" customFormat="1" ht="32" outlineLevel="1">
      <c r="A19" s="37" t="str">
        <f>A3&amp;"_"&amp;B19</f>
        <v>SW_DF_001_15</v>
      </c>
      <c r="B19" s="39">
        <v>15</v>
      </c>
      <c r="C19" s="225"/>
      <c r="D19" s="225"/>
      <c r="E19" s="48" t="s">
        <v>131</v>
      </c>
      <c r="F19" s="49"/>
      <c r="G19" s="50"/>
      <c r="H19" s="51"/>
      <c r="I19" s="51"/>
      <c r="J19" s="56"/>
      <c r="K19" s="56"/>
      <c r="L19" s="56"/>
    </row>
    <row r="20" spans="1:12" s="33" customFormat="1" ht="80" outlineLevel="1">
      <c r="A20" s="37" t="str">
        <f>A3&amp;"_"&amp;B20</f>
        <v>SW_DF_001_16</v>
      </c>
      <c r="B20" s="40">
        <v>16</v>
      </c>
      <c r="C20" s="223" t="s">
        <v>132</v>
      </c>
      <c r="D20" s="226" t="s">
        <v>133</v>
      </c>
      <c r="E20" s="48" t="s">
        <v>134</v>
      </c>
      <c r="F20" s="49"/>
      <c r="G20" s="50"/>
      <c r="H20" s="51"/>
      <c r="I20" s="51"/>
      <c r="J20" s="56"/>
      <c r="K20" s="56"/>
      <c r="L20" s="56"/>
    </row>
    <row r="21" spans="1:12" s="33" customFormat="1" ht="64" outlineLevel="1">
      <c r="A21" s="37" t="str">
        <f>A3&amp;"_"&amp;B21</f>
        <v>SW_DF_001_17</v>
      </c>
      <c r="B21" s="39">
        <v>17</v>
      </c>
      <c r="C21" s="224"/>
      <c r="D21" s="227"/>
      <c r="E21" s="48" t="s">
        <v>135</v>
      </c>
      <c r="F21" s="49"/>
      <c r="G21" s="50"/>
      <c r="H21" s="51"/>
      <c r="I21" s="51"/>
      <c r="J21" s="56"/>
      <c r="K21" s="56"/>
      <c r="L21" s="56"/>
    </row>
    <row r="22" spans="1:12" s="33" customFormat="1" ht="49" customHeight="1" outlineLevel="1">
      <c r="A22" s="37" t="str">
        <f>A3&amp;"_"&amp;B22</f>
        <v>SW_DF_001_18</v>
      </c>
      <c r="B22" s="40">
        <v>18</v>
      </c>
      <c r="C22" s="224"/>
      <c r="D22" s="227"/>
      <c r="E22" s="48" t="s">
        <v>136</v>
      </c>
      <c r="F22" s="49"/>
      <c r="G22" s="50"/>
      <c r="H22" s="51"/>
      <c r="I22" s="51"/>
      <c r="J22" s="56"/>
      <c r="K22" s="56"/>
      <c r="L22" s="56"/>
    </row>
    <row r="23" spans="1:12" s="33" customFormat="1" ht="48" customHeight="1" outlineLevel="1">
      <c r="A23" s="37" t="str">
        <f>A3&amp;"_"&amp;B23</f>
        <v>SW_DF_001_19</v>
      </c>
      <c r="B23" s="39">
        <v>19</v>
      </c>
      <c r="C23" s="224"/>
      <c r="D23" s="227"/>
      <c r="E23" s="48" t="s">
        <v>137</v>
      </c>
      <c r="F23" s="49"/>
      <c r="G23" s="50"/>
      <c r="H23" s="51"/>
      <c r="I23" s="51"/>
      <c r="J23" s="56"/>
      <c r="K23" s="56"/>
      <c r="L23" s="56"/>
    </row>
    <row r="24" spans="1:12" s="33" customFormat="1" ht="48" customHeight="1" outlineLevel="1">
      <c r="A24" s="37" t="str">
        <f>A3&amp;"_"&amp;B24</f>
        <v>SW_DF_001_20</v>
      </c>
      <c r="B24" s="40">
        <v>20</v>
      </c>
      <c r="C24" s="224"/>
      <c r="D24" s="227"/>
      <c r="E24" s="48" t="s">
        <v>138</v>
      </c>
      <c r="F24" s="49"/>
      <c r="G24" s="50"/>
      <c r="H24" s="51"/>
      <c r="I24" s="51"/>
      <c r="J24" s="56"/>
      <c r="K24" s="56"/>
      <c r="L24" s="56"/>
    </row>
    <row r="25" spans="1:12" s="33" customFormat="1" ht="48" customHeight="1" outlineLevel="1">
      <c r="A25" s="37" t="str">
        <f>A3&amp;"_"&amp;B25</f>
        <v>SW_DF_001_21</v>
      </c>
      <c r="B25" s="39">
        <v>21</v>
      </c>
      <c r="C25" s="224"/>
      <c r="D25" s="227"/>
      <c r="E25" s="48" t="s">
        <v>139</v>
      </c>
      <c r="F25" s="49"/>
      <c r="G25" s="50"/>
      <c r="H25" s="51"/>
      <c r="I25" s="51"/>
      <c r="J25" s="56"/>
      <c r="K25" s="56"/>
      <c r="L25" s="56"/>
    </row>
    <row r="26" spans="1:12" s="33" customFormat="1" ht="32" outlineLevel="1">
      <c r="A26" s="37" t="str">
        <f>A3&amp;"_"&amp;B26</f>
        <v>SW_DF_001_22</v>
      </c>
      <c r="B26" s="40">
        <v>22</v>
      </c>
      <c r="C26" s="225"/>
      <c r="D26" s="228"/>
      <c r="E26" s="48" t="s">
        <v>140</v>
      </c>
      <c r="F26" s="49"/>
      <c r="G26" s="50"/>
      <c r="H26" s="51"/>
      <c r="I26" s="51"/>
      <c r="J26" s="56"/>
      <c r="K26" s="56"/>
      <c r="L26" s="56"/>
    </row>
    <row r="27" spans="1:12" s="33" customFormat="1" ht="45" customHeight="1" outlineLevel="1">
      <c r="A27" s="37" t="str">
        <f>A3&amp;"_"&amp;B27</f>
        <v>SW_DF_001_23</v>
      </c>
      <c r="B27" s="39">
        <v>23</v>
      </c>
      <c r="C27" s="223" t="s">
        <v>141</v>
      </c>
      <c r="D27" s="223" t="s">
        <v>142</v>
      </c>
      <c r="E27" s="48" t="s">
        <v>143</v>
      </c>
      <c r="F27" s="49"/>
      <c r="G27" s="50"/>
      <c r="H27" s="51"/>
      <c r="I27" s="51"/>
      <c r="J27" s="56"/>
      <c r="K27" s="56"/>
      <c r="L27" s="56"/>
    </row>
    <row r="28" spans="1:12" s="33" customFormat="1" ht="48" outlineLevel="1">
      <c r="A28" s="37" t="str">
        <f>A3&amp;"_"&amp;B28</f>
        <v>SW_DF_001_24</v>
      </c>
      <c r="B28" s="40">
        <v>24</v>
      </c>
      <c r="C28" s="224"/>
      <c r="D28" s="224"/>
      <c r="E28" s="48" t="s">
        <v>144</v>
      </c>
      <c r="F28" s="49"/>
      <c r="G28" s="50"/>
      <c r="H28" s="51"/>
      <c r="I28" s="51"/>
      <c r="J28" s="56"/>
      <c r="K28" s="56"/>
      <c r="L28" s="56"/>
    </row>
    <row r="29" spans="1:12" s="33" customFormat="1" ht="80" outlineLevel="1">
      <c r="A29" s="37" t="str">
        <f>A3&amp;"_"&amp;B29</f>
        <v>SW_DF_001_25</v>
      </c>
      <c r="B29" s="39">
        <v>25</v>
      </c>
      <c r="C29" s="224"/>
      <c r="D29" s="224"/>
      <c r="E29" s="48" t="s">
        <v>145</v>
      </c>
      <c r="F29" s="49"/>
      <c r="G29" s="50"/>
      <c r="H29" s="51"/>
      <c r="I29" s="51"/>
      <c r="J29" s="56"/>
      <c r="K29" s="56"/>
      <c r="L29" s="56"/>
    </row>
    <row r="30" spans="1:12" s="33" customFormat="1" ht="80" outlineLevel="1">
      <c r="A30" s="37" t="str">
        <f>A3&amp;"_"&amp;B30</f>
        <v>SW_DF_001_26</v>
      </c>
      <c r="B30" s="40">
        <v>26</v>
      </c>
      <c r="C30" s="225"/>
      <c r="D30" s="225"/>
      <c r="E30" s="48" t="s">
        <v>146</v>
      </c>
      <c r="F30" s="49"/>
      <c r="G30" s="50"/>
      <c r="H30" s="51"/>
      <c r="I30" s="51"/>
      <c r="J30" s="56"/>
      <c r="K30" s="56"/>
      <c r="L30" s="56"/>
    </row>
    <row r="31" spans="1:12" s="33" customFormat="1" ht="68.5" customHeight="1" outlineLevel="1">
      <c r="A31" s="37" t="str">
        <f>A3&amp;"_"&amp;B31</f>
        <v>SW_DF_001_27</v>
      </c>
      <c r="B31" s="39">
        <v>27</v>
      </c>
      <c r="C31" s="223" t="s">
        <v>147</v>
      </c>
      <c r="D31" s="226" t="s">
        <v>148</v>
      </c>
      <c r="E31" s="48" t="s">
        <v>149</v>
      </c>
      <c r="F31" s="49"/>
      <c r="G31" s="50"/>
      <c r="H31" s="51"/>
      <c r="I31" s="51"/>
      <c r="J31" s="56"/>
      <c r="K31" s="56"/>
      <c r="L31" s="56"/>
    </row>
    <row r="32" spans="1:12" s="33" customFormat="1" ht="32" outlineLevel="1">
      <c r="A32" s="37" t="str">
        <f>A3&amp;"_"&amp;B32</f>
        <v>SW_DF_001_28</v>
      </c>
      <c r="B32" s="40">
        <v>28</v>
      </c>
      <c r="C32" s="224"/>
      <c r="D32" s="227"/>
      <c r="E32" s="48" t="s">
        <v>150</v>
      </c>
      <c r="F32" s="49"/>
      <c r="G32" s="50"/>
      <c r="H32" s="51"/>
      <c r="I32" s="51"/>
      <c r="J32" s="56"/>
      <c r="K32" s="56"/>
      <c r="L32" s="56"/>
    </row>
    <row r="33" spans="1:12" s="33" customFormat="1" ht="32" outlineLevel="1">
      <c r="A33" s="37" t="str">
        <f>A3&amp;"_"&amp;B33</f>
        <v>SW_DF_001_29</v>
      </c>
      <c r="B33" s="39">
        <v>29</v>
      </c>
      <c r="C33" s="225"/>
      <c r="D33" s="228"/>
      <c r="E33" s="48" t="s">
        <v>151</v>
      </c>
      <c r="F33" s="49"/>
      <c r="G33" s="50"/>
      <c r="H33" s="51"/>
      <c r="I33" s="51"/>
      <c r="J33" s="56"/>
      <c r="K33" s="56"/>
      <c r="L33" s="56"/>
    </row>
    <row r="34" spans="1:12" s="33" customFormat="1" ht="64" outlineLevel="1">
      <c r="A34" s="37" t="str">
        <f>A3&amp;"_"&amp;B34</f>
        <v>SW_DF_001_30</v>
      </c>
      <c r="B34" s="40">
        <v>30</v>
      </c>
      <c r="C34" s="223" t="s">
        <v>152</v>
      </c>
      <c r="D34" s="223" t="s">
        <v>153</v>
      </c>
      <c r="E34" s="48" t="s">
        <v>154</v>
      </c>
      <c r="F34" s="49"/>
      <c r="G34" s="50"/>
      <c r="H34" s="51"/>
      <c r="I34" s="51"/>
      <c r="J34" s="56"/>
      <c r="K34" s="56"/>
      <c r="L34" s="56"/>
    </row>
    <row r="35" spans="1:12" s="33" customFormat="1" ht="32" outlineLevel="1">
      <c r="A35" s="37" t="str">
        <f>A3&amp;"_"&amp;B35</f>
        <v>SW_DF_001_31</v>
      </c>
      <c r="B35" s="39">
        <v>31</v>
      </c>
      <c r="C35" s="224"/>
      <c r="D35" s="224"/>
      <c r="E35" s="48" t="s">
        <v>155</v>
      </c>
      <c r="F35" s="49"/>
      <c r="G35" s="50"/>
      <c r="H35" s="51"/>
      <c r="I35" s="51"/>
      <c r="J35" s="56"/>
      <c r="K35" s="56"/>
      <c r="L35" s="56"/>
    </row>
    <row r="36" spans="1:12" s="33" customFormat="1" ht="32" outlineLevel="1">
      <c r="A36" s="37" t="str">
        <f>A3&amp;"_"&amp;B36</f>
        <v>SW_DF_001_32</v>
      </c>
      <c r="B36" s="40">
        <v>32</v>
      </c>
      <c r="C36" s="224"/>
      <c r="D36" s="224"/>
      <c r="E36" s="48" t="s">
        <v>156</v>
      </c>
      <c r="F36" s="49"/>
      <c r="G36" s="50"/>
      <c r="H36" s="51"/>
      <c r="I36" s="51"/>
      <c r="J36" s="56"/>
      <c r="K36" s="56"/>
      <c r="L36" s="56"/>
    </row>
    <row r="37" spans="1:12" s="33" customFormat="1" ht="48" outlineLevel="1">
      <c r="A37" s="37" t="str">
        <f>A3&amp;"_"&amp;B37</f>
        <v>SW_DF_001_33</v>
      </c>
      <c r="B37" s="39">
        <v>33</v>
      </c>
      <c r="C37" s="224"/>
      <c r="D37" s="224"/>
      <c r="E37" s="48" t="s">
        <v>157</v>
      </c>
      <c r="F37" s="49"/>
      <c r="G37" s="50"/>
      <c r="H37" s="51"/>
      <c r="I37" s="51"/>
      <c r="J37" s="56"/>
      <c r="K37" s="56"/>
      <c r="L37" s="56"/>
    </row>
    <row r="38" spans="1:12" s="33" customFormat="1" ht="32" outlineLevel="1">
      <c r="A38" s="37" t="str">
        <f>A3&amp;"_"&amp;B38</f>
        <v>SW_DF_001_34</v>
      </c>
      <c r="B38" s="40">
        <v>34</v>
      </c>
      <c r="C38" s="224"/>
      <c r="D38" s="224"/>
      <c r="E38" s="48" t="s">
        <v>158</v>
      </c>
      <c r="F38" s="49"/>
      <c r="G38" s="50"/>
      <c r="H38" s="51"/>
      <c r="I38" s="51"/>
      <c r="J38" s="56"/>
      <c r="K38" s="56"/>
      <c r="L38" s="56"/>
    </row>
    <row r="39" spans="1:12" s="33" customFormat="1" ht="48" outlineLevel="1">
      <c r="A39" s="37" t="str">
        <f>A3&amp;"_"&amp;B39</f>
        <v>SW_DF_001_35</v>
      </c>
      <c r="B39" s="39">
        <v>35</v>
      </c>
      <c r="C39" s="224"/>
      <c r="D39" s="224"/>
      <c r="E39" s="48" t="s">
        <v>159</v>
      </c>
      <c r="F39" s="49"/>
      <c r="G39" s="50"/>
      <c r="H39" s="51"/>
      <c r="I39" s="51"/>
      <c r="J39" s="56"/>
      <c r="K39" s="56"/>
      <c r="L39" s="56"/>
    </row>
    <row r="40" spans="1:12" s="33" customFormat="1" ht="32" outlineLevel="1">
      <c r="A40" s="37" t="str">
        <f>A3&amp;"_"&amp;B40</f>
        <v>SW_DF_001_36</v>
      </c>
      <c r="B40" s="40">
        <v>36</v>
      </c>
      <c r="C40" s="224"/>
      <c r="D40" s="224"/>
      <c r="E40" s="48" t="s">
        <v>160</v>
      </c>
      <c r="F40" s="49"/>
      <c r="G40" s="50"/>
      <c r="H40" s="51"/>
      <c r="I40" s="51"/>
      <c r="J40" s="56"/>
      <c r="K40" s="56"/>
      <c r="L40" s="56"/>
    </row>
    <row r="41" spans="1:12" s="33" customFormat="1" ht="32" outlineLevel="1">
      <c r="A41" s="37" t="str">
        <f>A3&amp;"_"&amp;B41</f>
        <v>SW_DF_001_37</v>
      </c>
      <c r="B41" s="39">
        <v>37</v>
      </c>
      <c r="C41" s="224"/>
      <c r="D41" s="224"/>
      <c r="E41" s="48" t="s">
        <v>161</v>
      </c>
      <c r="F41" s="49"/>
      <c r="G41" s="50"/>
      <c r="H41" s="51"/>
      <c r="I41" s="51"/>
      <c r="J41" s="56"/>
      <c r="K41" s="56"/>
      <c r="L41" s="56"/>
    </row>
    <row r="42" spans="1:12" s="33" customFormat="1" ht="42" customHeight="1" outlineLevel="1">
      <c r="A42" s="37" t="str">
        <f>A3&amp;"_"&amp;B42</f>
        <v>SW_DF_001_38</v>
      </c>
      <c r="B42" s="40">
        <v>38</v>
      </c>
      <c r="C42" s="225"/>
      <c r="D42" s="225"/>
      <c r="E42" s="48" t="s">
        <v>162</v>
      </c>
      <c r="F42" s="49"/>
      <c r="G42" s="50"/>
      <c r="H42" s="51"/>
      <c r="I42" s="51"/>
      <c r="J42" s="56"/>
      <c r="K42" s="56"/>
      <c r="L42" s="56"/>
    </row>
    <row r="43" spans="1:12" s="33" customFormat="1" ht="48" outlineLevel="1">
      <c r="A43" s="37" t="str">
        <f>A3&amp;"_"&amp;B43</f>
        <v>SW_DF_001_39</v>
      </c>
      <c r="B43" s="39">
        <v>39</v>
      </c>
      <c r="C43" s="223" t="s">
        <v>163</v>
      </c>
      <c r="D43" s="223" t="s">
        <v>164</v>
      </c>
      <c r="E43" s="48" t="s">
        <v>165</v>
      </c>
      <c r="F43" s="49"/>
      <c r="G43" s="50"/>
      <c r="H43" s="51"/>
      <c r="I43" s="51"/>
      <c r="J43" s="56"/>
      <c r="K43" s="56"/>
      <c r="L43" s="56"/>
    </row>
    <row r="44" spans="1:12" s="33" customFormat="1" ht="80" outlineLevel="1">
      <c r="A44" s="37" t="str">
        <f>A3&amp;"_"&amp;B44</f>
        <v>SW_DF_001_40</v>
      </c>
      <c r="B44" s="40">
        <v>40</v>
      </c>
      <c r="C44" s="224"/>
      <c r="D44" s="224"/>
      <c r="E44" s="48" t="s">
        <v>166</v>
      </c>
      <c r="F44" s="49"/>
      <c r="G44" s="50"/>
      <c r="H44" s="51"/>
      <c r="I44" s="51"/>
      <c r="J44" s="56"/>
      <c r="K44" s="56"/>
      <c r="L44" s="56"/>
    </row>
    <row r="45" spans="1:12" s="33" customFormat="1" ht="32" outlineLevel="1">
      <c r="A45" s="37" t="str">
        <f>A3&amp;"_"&amp;B45</f>
        <v>SW_DF_001_41</v>
      </c>
      <c r="B45" s="39">
        <v>41</v>
      </c>
      <c r="C45" s="224"/>
      <c r="D45" s="224"/>
      <c r="E45" s="48" t="s">
        <v>167</v>
      </c>
      <c r="F45" s="49"/>
      <c r="G45" s="50"/>
      <c r="H45" s="51"/>
      <c r="I45" s="51"/>
      <c r="J45" s="56"/>
      <c r="K45" s="56"/>
      <c r="L45" s="56"/>
    </row>
    <row r="46" spans="1:12" s="33" customFormat="1" ht="48" outlineLevel="1">
      <c r="A46" s="37" t="str">
        <f>A3&amp;"_"&amp;B46</f>
        <v>SW_DF_001_42</v>
      </c>
      <c r="B46" s="40">
        <v>42</v>
      </c>
      <c r="C46" s="224"/>
      <c r="D46" s="224"/>
      <c r="E46" s="48" t="s">
        <v>168</v>
      </c>
      <c r="F46" s="49"/>
      <c r="G46" s="50"/>
      <c r="H46" s="51"/>
      <c r="I46" s="51"/>
      <c r="J46" s="56"/>
      <c r="K46" s="56"/>
      <c r="L46" s="56"/>
    </row>
    <row r="47" spans="1:12" s="33" customFormat="1" ht="32" outlineLevel="1">
      <c r="A47" s="37" t="str">
        <f>A3&amp;"_"&amp;B47</f>
        <v>SW_DF_001_43</v>
      </c>
      <c r="B47" s="39">
        <v>43</v>
      </c>
      <c r="C47" s="224"/>
      <c r="D47" s="224"/>
      <c r="E47" s="48" t="s">
        <v>169</v>
      </c>
      <c r="F47" s="49"/>
      <c r="G47" s="50"/>
      <c r="H47" s="51"/>
      <c r="I47" s="51"/>
      <c r="J47" s="56"/>
      <c r="K47" s="56"/>
      <c r="L47" s="56"/>
    </row>
    <row r="48" spans="1:12" s="33" customFormat="1" ht="32" outlineLevel="1">
      <c r="A48" s="37" t="str">
        <f>A3&amp;"_"&amp;B48</f>
        <v>SW_DF_001_44</v>
      </c>
      <c r="B48" s="40">
        <v>44</v>
      </c>
      <c r="C48" s="224"/>
      <c r="D48" s="224"/>
      <c r="E48" s="48" t="s">
        <v>170</v>
      </c>
      <c r="F48" s="49"/>
      <c r="G48" s="50"/>
      <c r="H48" s="51"/>
      <c r="I48" s="51"/>
      <c r="J48" s="56"/>
      <c r="K48" s="56"/>
      <c r="L48" s="56"/>
    </row>
    <row r="49" spans="1:12" s="33" customFormat="1" ht="48" outlineLevel="1">
      <c r="A49" s="37" t="str">
        <f>A3&amp;"_"&amp;B49</f>
        <v>SW_DF_001_45</v>
      </c>
      <c r="B49" s="39">
        <v>45</v>
      </c>
      <c r="C49" s="224"/>
      <c r="D49" s="224"/>
      <c r="E49" s="48" t="s">
        <v>171</v>
      </c>
      <c r="F49" s="49"/>
      <c r="G49" s="50"/>
      <c r="H49" s="51"/>
      <c r="I49" s="51"/>
      <c r="J49" s="56"/>
      <c r="K49" s="56"/>
      <c r="L49" s="56"/>
    </row>
    <row r="50" spans="1:12" s="33" customFormat="1" ht="48" outlineLevel="1">
      <c r="A50" s="37" t="str">
        <f>A3&amp;"_"&amp;B50</f>
        <v>SW_DF_001_46</v>
      </c>
      <c r="B50" s="40">
        <v>46</v>
      </c>
      <c r="C50" s="224"/>
      <c r="D50" s="224"/>
      <c r="E50" s="48" t="s">
        <v>172</v>
      </c>
      <c r="F50" s="49"/>
      <c r="G50" s="50"/>
      <c r="H50" s="51"/>
      <c r="I50" s="51"/>
      <c r="J50" s="56"/>
      <c r="K50" s="56"/>
      <c r="L50" s="56"/>
    </row>
    <row r="51" spans="1:12" s="33" customFormat="1" ht="32" outlineLevel="1">
      <c r="A51" s="37" t="str">
        <f>A3&amp;"_"&amp;B51</f>
        <v>SW_DF_001_47</v>
      </c>
      <c r="B51" s="39">
        <v>47</v>
      </c>
      <c r="C51" s="224"/>
      <c r="D51" s="224"/>
      <c r="E51" s="48" t="s">
        <v>173</v>
      </c>
      <c r="F51" s="49"/>
      <c r="G51" s="50"/>
      <c r="H51" s="51"/>
      <c r="I51" s="51"/>
      <c r="J51" s="56"/>
      <c r="K51" s="56"/>
      <c r="L51" s="56"/>
    </row>
    <row r="52" spans="1:12" s="33" customFormat="1" ht="32" outlineLevel="1">
      <c r="A52" s="37" t="str">
        <f>A3&amp;"_"&amp;B52</f>
        <v>SW_DF_001_48</v>
      </c>
      <c r="B52" s="40">
        <v>48</v>
      </c>
      <c r="C52" s="224"/>
      <c r="D52" s="224"/>
      <c r="E52" s="48" t="s">
        <v>174</v>
      </c>
      <c r="F52" s="49"/>
      <c r="G52" s="50"/>
      <c r="H52" s="51"/>
      <c r="I52" s="51"/>
      <c r="J52" s="56"/>
      <c r="K52" s="56"/>
      <c r="L52" s="56"/>
    </row>
    <row r="53" spans="1:12" s="33" customFormat="1" ht="16" outlineLevel="1">
      <c r="A53" s="37" t="str">
        <f>A3&amp;"_"&amp;B53</f>
        <v>SW_DF_001_49</v>
      </c>
      <c r="B53" s="37">
        <v>49</v>
      </c>
      <c r="C53" s="229"/>
      <c r="D53" s="229"/>
      <c r="E53" s="48" t="s">
        <v>175</v>
      </c>
      <c r="F53" s="49"/>
      <c r="G53" s="50"/>
      <c r="H53" s="51"/>
      <c r="I53" s="51"/>
      <c r="J53" s="56"/>
      <c r="K53" s="56"/>
      <c r="L53" s="56"/>
    </row>
    <row r="54" spans="1:12" s="33" customFormat="1" outlineLevel="1">
      <c r="A54" s="41"/>
      <c r="B54" s="41"/>
      <c r="C54" s="42"/>
      <c r="D54" s="42"/>
      <c r="E54" s="42"/>
      <c r="F54" s="53"/>
      <c r="G54" s="53"/>
      <c r="H54" s="41"/>
      <c r="I54" s="41"/>
    </row>
    <row r="56" spans="1:12" s="33" customFormat="1" ht="75" customHeight="1">
      <c r="A56" s="43" t="str">
        <f>'Top Event'!B5</f>
        <v>SW_DF_002</v>
      </c>
      <c r="B56" s="43"/>
      <c r="C56" s="43">
        <f>'Top Event'!C5</f>
        <v>0</v>
      </c>
      <c r="D56" s="43">
        <f>'Top Event'!D5</f>
        <v>0</v>
      </c>
      <c r="E56" s="43">
        <f>'Top Event'!E5</f>
        <v>0</v>
      </c>
      <c r="F56" s="45"/>
      <c r="G56" s="45"/>
      <c r="H56" s="46"/>
      <c r="I56" s="46"/>
      <c r="J56" s="54"/>
      <c r="K56" s="54"/>
      <c r="L56" s="54"/>
    </row>
    <row r="57" spans="1:12" s="33" customFormat="1" ht="37.25" customHeight="1">
      <c r="A57" s="37"/>
      <c r="B57" s="37"/>
      <c r="C57" s="38" t="s">
        <v>96</v>
      </c>
      <c r="D57" s="38" t="s">
        <v>97</v>
      </c>
      <c r="E57" s="38" t="s">
        <v>98</v>
      </c>
      <c r="F57" s="38" t="s">
        <v>99</v>
      </c>
      <c r="G57" s="38" t="s">
        <v>100</v>
      </c>
      <c r="H57" s="47" t="s">
        <v>101</v>
      </c>
      <c r="I57" s="47" t="s">
        <v>102</v>
      </c>
      <c r="J57" s="38" t="s">
        <v>103</v>
      </c>
      <c r="K57" s="38" t="s">
        <v>104</v>
      </c>
      <c r="L57" s="55" t="s">
        <v>105</v>
      </c>
    </row>
    <row r="58" spans="1:12" s="33" customFormat="1" ht="64" outlineLevel="1">
      <c r="A58" s="37" t="str">
        <f>A56&amp;"_"&amp;B58</f>
        <v>SW_DF_002_1</v>
      </c>
      <c r="B58" s="39">
        <v>1</v>
      </c>
      <c r="C58" s="220" t="s">
        <v>106</v>
      </c>
      <c r="D58" s="226" t="s">
        <v>107</v>
      </c>
      <c r="E58" s="48" t="s">
        <v>108</v>
      </c>
      <c r="F58" s="49" t="s">
        <v>109</v>
      </c>
      <c r="G58" s="50"/>
      <c r="H58" s="51"/>
      <c r="I58" s="51"/>
      <c r="J58" s="56"/>
      <c r="K58" s="56"/>
      <c r="L58" s="56"/>
    </row>
    <row r="59" spans="1:12" s="33" customFormat="1" ht="64" outlineLevel="1">
      <c r="A59" s="37" t="str">
        <f>A56&amp;"_"&amp;B59</f>
        <v>SW_DF_002_2</v>
      </c>
      <c r="B59" s="40">
        <v>2</v>
      </c>
      <c r="C59" s="221"/>
      <c r="D59" s="227"/>
      <c r="E59" s="48" t="s">
        <v>110</v>
      </c>
      <c r="F59" s="49" t="s">
        <v>111</v>
      </c>
      <c r="G59" s="52" t="s">
        <v>112</v>
      </c>
      <c r="H59" s="51" t="s">
        <v>113</v>
      </c>
      <c r="I59" s="51" t="s">
        <v>114</v>
      </c>
      <c r="J59" s="56" t="s">
        <v>115</v>
      </c>
      <c r="K59" s="56" t="s">
        <v>116</v>
      </c>
      <c r="L59" s="56"/>
    </row>
    <row r="60" spans="1:12" s="33" customFormat="1" ht="32" outlineLevel="1">
      <c r="A60" s="37" t="str">
        <f>A56&amp;"_"&amp;B60</f>
        <v>SW_DF_002_3</v>
      </c>
      <c r="B60" s="39">
        <v>3</v>
      </c>
      <c r="C60" s="221"/>
      <c r="D60" s="227"/>
      <c r="E60" s="48" t="s">
        <v>117</v>
      </c>
      <c r="F60" s="49"/>
      <c r="G60" s="50"/>
      <c r="H60" s="51"/>
      <c r="I60" s="51"/>
      <c r="J60" s="56"/>
      <c r="K60" s="56"/>
      <c r="L60" s="56"/>
    </row>
    <row r="61" spans="1:12" s="33" customFormat="1" ht="32" outlineLevel="1">
      <c r="A61" s="37" t="str">
        <f>A56&amp;"_"&amp;B61</f>
        <v>SW_DF_002_4</v>
      </c>
      <c r="B61" s="40">
        <v>4</v>
      </c>
      <c r="C61" s="221"/>
      <c r="D61" s="227"/>
      <c r="E61" s="48" t="s">
        <v>118</v>
      </c>
      <c r="F61" s="49"/>
      <c r="G61" s="50"/>
      <c r="H61" s="51"/>
      <c r="I61" s="51"/>
      <c r="J61" s="56"/>
      <c r="K61" s="56"/>
      <c r="L61" s="56"/>
    </row>
    <row r="62" spans="1:12" s="33" customFormat="1" ht="32" outlineLevel="1">
      <c r="A62" s="37" t="str">
        <f>A56&amp;"_"&amp;B62</f>
        <v>SW_DF_002_5</v>
      </c>
      <c r="B62" s="39">
        <v>5</v>
      </c>
      <c r="C62" s="221"/>
      <c r="D62" s="227"/>
      <c r="E62" s="48" t="s">
        <v>119</v>
      </c>
      <c r="F62" s="49"/>
      <c r="G62" s="50"/>
      <c r="H62" s="51"/>
      <c r="I62" s="51"/>
      <c r="J62" s="56"/>
      <c r="K62" s="56"/>
      <c r="L62" s="56"/>
    </row>
    <row r="63" spans="1:12" s="33" customFormat="1" ht="32" outlineLevel="1">
      <c r="A63" s="37" t="str">
        <f>A56&amp;"_"&amp;B63</f>
        <v>SW_DF_002_6</v>
      </c>
      <c r="B63" s="40">
        <v>6</v>
      </c>
      <c r="C63" s="221"/>
      <c r="D63" s="227"/>
      <c r="E63" s="48" t="s">
        <v>120</v>
      </c>
      <c r="F63" s="49"/>
      <c r="G63" s="50"/>
      <c r="H63" s="51"/>
      <c r="I63" s="51"/>
      <c r="J63" s="56"/>
      <c r="K63" s="56"/>
      <c r="L63" s="56"/>
    </row>
    <row r="64" spans="1:12" s="33" customFormat="1" ht="32" outlineLevel="1">
      <c r="A64" s="37" t="str">
        <f>A56&amp;"_"&amp;B64</f>
        <v>SW_DF_002_7</v>
      </c>
      <c r="B64" s="39">
        <v>7</v>
      </c>
      <c r="C64" s="221"/>
      <c r="D64" s="227"/>
      <c r="E64" s="48" t="s">
        <v>121</v>
      </c>
      <c r="F64" s="49"/>
      <c r="G64" s="50"/>
      <c r="H64" s="51"/>
      <c r="I64" s="51"/>
      <c r="J64" s="56"/>
      <c r="K64" s="56"/>
      <c r="L64" s="56"/>
    </row>
    <row r="65" spans="1:12" s="33" customFormat="1" ht="32" outlineLevel="1">
      <c r="A65" s="37" t="str">
        <f>A56&amp;"_"&amp;B65</f>
        <v>SW_DF_002_8</v>
      </c>
      <c r="B65" s="40">
        <v>8</v>
      </c>
      <c r="C65" s="221"/>
      <c r="D65" s="227"/>
      <c r="E65" s="48" t="s">
        <v>122</v>
      </c>
      <c r="F65" s="49"/>
      <c r="G65" s="50"/>
      <c r="H65" s="51"/>
      <c r="I65" s="51"/>
      <c r="J65" s="56"/>
      <c r="K65" s="56"/>
      <c r="L65" s="56"/>
    </row>
    <row r="66" spans="1:12" s="33" customFormat="1" ht="16" outlineLevel="1">
      <c r="A66" s="37" t="str">
        <f>A56&amp;"_"&amp;B66</f>
        <v>SW_DF_002_9</v>
      </c>
      <c r="B66" s="39">
        <v>9</v>
      </c>
      <c r="C66" s="222"/>
      <c r="D66" s="228"/>
      <c r="E66" s="48" t="s">
        <v>123</v>
      </c>
      <c r="F66" s="49"/>
      <c r="G66" s="50"/>
      <c r="H66" s="51"/>
      <c r="I66" s="51"/>
      <c r="J66" s="56"/>
      <c r="K66" s="56"/>
      <c r="L66" s="56"/>
    </row>
    <row r="67" spans="1:12" s="33" customFormat="1" ht="32" outlineLevel="1">
      <c r="A67" s="37" t="str">
        <f>A56&amp;"_"&amp;B67</f>
        <v>SW_DF_002_10</v>
      </c>
      <c r="B67" s="40">
        <v>10</v>
      </c>
      <c r="C67" s="223" t="s">
        <v>124</v>
      </c>
      <c r="D67" s="223" t="s">
        <v>125</v>
      </c>
      <c r="E67" s="48" t="s">
        <v>126</v>
      </c>
      <c r="F67" s="49"/>
      <c r="G67" s="50"/>
      <c r="H67" s="51"/>
      <c r="I67" s="51"/>
      <c r="J67" s="56"/>
      <c r="K67" s="56"/>
      <c r="L67" s="56"/>
    </row>
    <row r="68" spans="1:12" s="33" customFormat="1" ht="32" outlineLevel="1">
      <c r="A68" s="37" t="str">
        <f>A56&amp;"_"&amp;B68</f>
        <v>SW_DF_002_11</v>
      </c>
      <c r="B68" s="39">
        <v>11</v>
      </c>
      <c r="C68" s="224"/>
      <c r="D68" s="224"/>
      <c r="E68" s="48" t="s">
        <v>127</v>
      </c>
      <c r="F68" s="49"/>
      <c r="G68" s="50"/>
      <c r="H68" s="51"/>
      <c r="I68" s="51"/>
      <c r="J68" s="56"/>
      <c r="K68" s="56"/>
      <c r="L68" s="56"/>
    </row>
    <row r="69" spans="1:12" s="33" customFormat="1" ht="32" outlineLevel="1">
      <c r="A69" s="37" t="str">
        <f>A56&amp;"_"&amp;B69</f>
        <v>SW_DF_002_12</v>
      </c>
      <c r="B69" s="40">
        <v>12</v>
      </c>
      <c r="C69" s="224"/>
      <c r="D69" s="224"/>
      <c r="E69" s="48" t="s">
        <v>128</v>
      </c>
      <c r="F69" s="49"/>
      <c r="G69" s="50"/>
      <c r="H69" s="51"/>
      <c r="I69" s="51"/>
      <c r="J69" s="56"/>
      <c r="K69" s="56"/>
      <c r="L69" s="56"/>
    </row>
    <row r="70" spans="1:12" s="33" customFormat="1" ht="32" outlineLevel="1">
      <c r="A70" s="37" t="str">
        <f>A56&amp;"_"&amp;B70</f>
        <v>SW_DF_002_13</v>
      </c>
      <c r="B70" s="39">
        <v>13</v>
      </c>
      <c r="C70" s="224"/>
      <c r="D70" s="224"/>
      <c r="E70" s="48" t="s">
        <v>129</v>
      </c>
      <c r="F70" s="49"/>
      <c r="G70" s="50"/>
      <c r="H70" s="51"/>
      <c r="I70" s="51"/>
      <c r="J70" s="56"/>
      <c r="K70" s="56"/>
      <c r="L70" s="56"/>
    </row>
    <row r="71" spans="1:12" s="33" customFormat="1" ht="16" outlineLevel="1">
      <c r="A71" s="37" t="str">
        <f>A56&amp;"_"&amp;B71</f>
        <v>SW_DF_002_14</v>
      </c>
      <c r="B71" s="40">
        <v>14</v>
      </c>
      <c r="C71" s="224"/>
      <c r="D71" s="224"/>
      <c r="E71" s="48" t="s">
        <v>130</v>
      </c>
      <c r="F71" s="49"/>
      <c r="G71" s="50"/>
      <c r="H71" s="51"/>
      <c r="I71" s="51"/>
      <c r="J71" s="56"/>
      <c r="K71" s="56"/>
      <c r="L71" s="56"/>
    </row>
    <row r="72" spans="1:12" s="33" customFormat="1" ht="32" outlineLevel="1">
      <c r="A72" s="37" t="str">
        <f>A56&amp;"_"&amp;B72</f>
        <v>SW_DF_002_15</v>
      </c>
      <c r="B72" s="39">
        <v>15</v>
      </c>
      <c r="C72" s="225"/>
      <c r="D72" s="225"/>
      <c r="E72" s="48" t="s">
        <v>131</v>
      </c>
      <c r="F72" s="49"/>
      <c r="G72" s="50"/>
      <c r="H72" s="51"/>
      <c r="I72" s="51"/>
      <c r="J72" s="56"/>
      <c r="K72" s="56"/>
      <c r="L72" s="56"/>
    </row>
    <row r="73" spans="1:12" s="33" customFormat="1" ht="80" outlineLevel="1">
      <c r="A73" s="37" t="str">
        <f>A56&amp;"_"&amp;B73</f>
        <v>SW_DF_002_16</v>
      </c>
      <c r="B73" s="40">
        <v>16</v>
      </c>
      <c r="C73" s="223" t="s">
        <v>132</v>
      </c>
      <c r="D73" s="226" t="s">
        <v>133</v>
      </c>
      <c r="E73" s="48" t="s">
        <v>134</v>
      </c>
      <c r="F73" s="49"/>
      <c r="G73" s="50"/>
      <c r="H73" s="51"/>
      <c r="I73" s="51"/>
      <c r="J73" s="56"/>
      <c r="K73" s="56"/>
      <c r="L73" s="56"/>
    </row>
    <row r="74" spans="1:12" s="33" customFormat="1" ht="64" outlineLevel="1">
      <c r="A74" s="37" t="str">
        <f>A56&amp;"_"&amp;B74</f>
        <v>SW_DF_002_17</v>
      </c>
      <c r="B74" s="39">
        <v>17</v>
      </c>
      <c r="C74" s="224"/>
      <c r="D74" s="227"/>
      <c r="E74" s="48" t="s">
        <v>135</v>
      </c>
      <c r="F74" s="49"/>
      <c r="G74" s="50"/>
      <c r="H74" s="51"/>
      <c r="I74" s="51"/>
      <c r="J74" s="56"/>
      <c r="K74" s="56"/>
      <c r="L74" s="56"/>
    </row>
    <row r="75" spans="1:12" s="33" customFormat="1" ht="49" customHeight="1" outlineLevel="1">
      <c r="A75" s="37" t="str">
        <f>A56&amp;"_"&amp;B75</f>
        <v>SW_DF_002_18</v>
      </c>
      <c r="B75" s="40">
        <v>18</v>
      </c>
      <c r="C75" s="224"/>
      <c r="D75" s="227"/>
      <c r="E75" s="48" t="s">
        <v>136</v>
      </c>
      <c r="F75" s="49"/>
      <c r="G75" s="50"/>
      <c r="H75" s="51"/>
      <c r="I75" s="51"/>
      <c r="J75" s="56"/>
      <c r="K75" s="56"/>
      <c r="L75" s="56"/>
    </row>
    <row r="76" spans="1:12" s="33" customFormat="1" ht="48" customHeight="1" outlineLevel="1">
      <c r="A76" s="37" t="str">
        <f>A56&amp;"_"&amp;B76</f>
        <v>SW_DF_002_19</v>
      </c>
      <c r="B76" s="39">
        <v>19</v>
      </c>
      <c r="C76" s="224"/>
      <c r="D76" s="227"/>
      <c r="E76" s="48" t="s">
        <v>137</v>
      </c>
      <c r="F76" s="49"/>
      <c r="G76" s="50"/>
      <c r="H76" s="51"/>
      <c r="I76" s="51"/>
      <c r="J76" s="56"/>
      <c r="K76" s="56"/>
      <c r="L76" s="56"/>
    </row>
    <row r="77" spans="1:12" s="33" customFormat="1" ht="48" customHeight="1" outlineLevel="1">
      <c r="A77" s="37" t="str">
        <f>A56&amp;"_"&amp;B77</f>
        <v>SW_DF_002_20</v>
      </c>
      <c r="B77" s="40">
        <v>20</v>
      </c>
      <c r="C77" s="224"/>
      <c r="D77" s="227"/>
      <c r="E77" s="48" t="s">
        <v>138</v>
      </c>
      <c r="F77" s="49"/>
      <c r="G77" s="50"/>
      <c r="H77" s="51"/>
      <c r="I77" s="51"/>
      <c r="J77" s="56"/>
      <c r="K77" s="56"/>
      <c r="L77" s="56"/>
    </row>
    <row r="78" spans="1:12" s="33" customFormat="1" ht="48" customHeight="1" outlineLevel="1">
      <c r="A78" s="37" t="str">
        <f>A56&amp;"_"&amp;B78</f>
        <v>SW_DF_002_21</v>
      </c>
      <c r="B78" s="39">
        <v>21</v>
      </c>
      <c r="C78" s="224"/>
      <c r="D78" s="227"/>
      <c r="E78" s="48" t="s">
        <v>139</v>
      </c>
      <c r="F78" s="49"/>
      <c r="G78" s="50"/>
      <c r="H78" s="51"/>
      <c r="I78" s="51"/>
      <c r="J78" s="56"/>
      <c r="K78" s="56"/>
      <c r="L78" s="56"/>
    </row>
    <row r="79" spans="1:12" s="33" customFormat="1" ht="32" outlineLevel="1">
      <c r="A79" s="37" t="str">
        <f>A56&amp;"_"&amp;B79</f>
        <v>SW_DF_002_22</v>
      </c>
      <c r="B79" s="40">
        <v>22</v>
      </c>
      <c r="C79" s="225"/>
      <c r="D79" s="228"/>
      <c r="E79" s="48" t="s">
        <v>140</v>
      </c>
      <c r="F79" s="49"/>
      <c r="G79" s="50"/>
      <c r="H79" s="51"/>
      <c r="I79" s="51"/>
      <c r="J79" s="56"/>
      <c r="K79" s="56"/>
      <c r="L79" s="56"/>
    </row>
    <row r="80" spans="1:12" s="33" customFormat="1" ht="45" customHeight="1" outlineLevel="1">
      <c r="A80" s="37" t="str">
        <f>A56&amp;"_"&amp;B80</f>
        <v>SW_DF_002_23</v>
      </c>
      <c r="B80" s="39">
        <v>23</v>
      </c>
      <c r="C80" s="223" t="s">
        <v>141</v>
      </c>
      <c r="D80" s="223" t="s">
        <v>142</v>
      </c>
      <c r="E80" s="48" t="s">
        <v>143</v>
      </c>
      <c r="F80" s="49"/>
      <c r="G80" s="50"/>
      <c r="H80" s="51"/>
      <c r="I80" s="51"/>
      <c r="J80" s="56"/>
      <c r="K80" s="56"/>
      <c r="L80" s="56"/>
    </row>
    <row r="81" spans="1:12" s="33" customFormat="1" ht="48" outlineLevel="1">
      <c r="A81" s="37" t="str">
        <f>A56&amp;"_"&amp;B81</f>
        <v>SW_DF_002_24</v>
      </c>
      <c r="B81" s="40">
        <v>24</v>
      </c>
      <c r="C81" s="224"/>
      <c r="D81" s="224"/>
      <c r="E81" s="48" t="s">
        <v>144</v>
      </c>
      <c r="F81" s="49"/>
      <c r="G81" s="50"/>
      <c r="H81" s="51"/>
      <c r="I81" s="51"/>
      <c r="J81" s="56"/>
      <c r="K81" s="56"/>
      <c r="L81" s="56"/>
    </row>
    <row r="82" spans="1:12" s="33" customFormat="1" ht="80" outlineLevel="1">
      <c r="A82" s="37" t="str">
        <f>A56&amp;"_"&amp;B82</f>
        <v>SW_DF_002_25</v>
      </c>
      <c r="B82" s="39">
        <v>25</v>
      </c>
      <c r="C82" s="224"/>
      <c r="D82" s="224"/>
      <c r="E82" s="48" t="s">
        <v>145</v>
      </c>
      <c r="F82" s="49"/>
      <c r="G82" s="50"/>
      <c r="H82" s="51"/>
      <c r="I82" s="51"/>
      <c r="J82" s="56"/>
      <c r="K82" s="56"/>
      <c r="L82" s="56"/>
    </row>
    <row r="83" spans="1:12" s="33" customFormat="1" ht="80" outlineLevel="1">
      <c r="A83" s="37" t="str">
        <f>A56&amp;"_"&amp;B83</f>
        <v>SW_DF_002_26</v>
      </c>
      <c r="B83" s="40">
        <v>26</v>
      </c>
      <c r="C83" s="225"/>
      <c r="D83" s="225"/>
      <c r="E83" s="48" t="s">
        <v>146</v>
      </c>
      <c r="F83" s="49"/>
      <c r="G83" s="50"/>
      <c r="H83" s="51"/>
      <c r="I83" s="51"/>
      <c r="J83" s="56"/>
      <c r="K83" s="56"/>
      <c r="L83" s="56"/>
    </row>
    <row r="84" spans="1:12" s="33" customFormat="1" ht="68.5" customHeight="1" outlineLevel="1">
      <c r="A84" s="37" t="str">
        <f>A56&amp;"_"&amp;B84</f>
        <v>SW_DF_002_27</v>
      </c>
      <c r="B84" s="39">
        <v>27</v>
      </c>
      <c r="C84" s="223" t="s">
        <v>147</v>
      </c>
      <c r="D84" s="226" t="s">
        <v>148</v>
      </c>
      <c r="E84" s="48" t="s">
        <v>149</v>
      </c>
      <c r="F84" s="49"/>
      <c r="G84" s="50"/>
      <c r="H84" s="51"/>
      <c r="I84" s="51"/>
      <c r="J84" s="56"/>
      <c r="K84" s="56"/>
      <c r="L84" s="56"/>
    </row>
    <row r="85" spans="1:12" s="33" customFormat="1" ht="32" outlineLevel="1">
      <c r="A85" s="37" t="str">
        <f>A56&amp;"_"&amp;B85</f>
        <v>SW_DF_002_28</v>
      </c>
      <c r="B85" s="40">
        <v>28</v>
      </c>
      <c r="C85" s="224"/>
      <c r="D85" s="227"/>
      <c r="E85" s="48" t="s">
        <v>150</v>
      </c>
      <c r="F85" s="49"/>
      <c r="G85" s="50"/>
      <c r="H85" s="51"/>
      <c r="I85" s="51"/>
      <c r="J85" s="56"/>
      <c r="K85" s="56"/>
      <c r="L85" s="56"/>
    </row>
    <row r="86" spans="1:12" s="33" customFormat="1" ht="32" outlineLevel="1">
      <c r="A86" s="37" t="str">
        <f>A56&amp;"_"&amp;B86</f>
        <v>SW_DF_002_29</v>
      </c>
      <c r="B86" s="39">
        <v>29</v>
      </c>
      <c r="C86" s="225"/>
      <c r="D86" s="228"/>
      <c r="E86" s="48" t="s">
        <v>151</v>
      </c>
      <c r="F86" s="49"/>
      <c r="G86" s="50"/>
      <c r="H86" s="51"/>
      <c r="I86" s="51"/>
      <c r="J86" s="56"/>
      <c r="K86" s="56"/>
      <c r="L86" s="56"/>
    </row>
    <row r="87" spans="1:12" s="33" customFormat="1" ht="64" outlineLevel="1">
      <c r="A87" s="37" t="str">
        <f>A56&amp;"_"&amp;B87</f>
        <v>SW_DF_002_30</v>
      </c>
      <c r="B87" s="40">
        <v>30</v>
      </c>
      <c r="C87" s="223" t="s">
        <v>152</v>
      </c>
      <c r="D87" s="223" t="s">
        <v>153</v>
      </c>
      <c r="E87" s="48" t="s">
        <v>154</v>
      </c>
      <c r="F87" s="49"/>
      <c r="G87" s="50"/>
      <c r="H87" s="51"/>
      <c r="I87" s="51"/>
      <c r="J87" s="56"/>
      <c r="K87" s="56"/>
      <c r="L87" s="56"/>
    </row>
    <row r="88" spans="1:12" s="33" customFormat="1" ht="32" outlineLevel="1">
      <c r="A88" s="37" t="str">
        <f>A56&amp;"_"&amp;B88</f>
        <v>SW_DF_002_31</v>
      </c>
      <c r="B88" s="39">
        <v>31</v>
      </c>
      <c r="C88" s="224"/>
      <c r="D88" s="224"/>
      <c r="E88" s="48" t="s">
        <v>155</v>
      </c>
      <c r="F88" s="49"/>
      <c r="G88" s="50"/>
      <c r="H88" s="51"/>
      <c r="I88" s="51"/>
      <c r="J88" s="56"/>
      <c r="K88" s="56"/>
      <c r="L88" s="56"/>
    </row>
    <row r="89" spans="1:12" s="33" customFormat="1" ht="32" outlineLevel="1">
      <c r="A89" s="37" t="str">
        <f>A56&amp;"_"&amp;B89</f>
        <v>SW_DF_002_32</v>
      </c>
      <c r="B89" s="40">
        <v>32</v>
      </c>
      <c r="C89" s="224"/>
      <c r="D89" s="224"/>
      <c r="E89" s="48" t="s">
        <v>156</v>
      </c>
      <c r="F89" s="49"/>
      <c r="G89" s="50"/>
      <c r="H89" s="51"/>
      <c r="I89" s="51"/>
      <c r="J89" s="56"/>
      <c r="K89" s="56"/>
      <c r="L89" s="56"/>
    </row>
    <row r="90" spans="1:12" s="33" customFormat="1" ht="48" outlineLevel="1">
      <c r="A90" s="37" t="str">
        <f>A56&amp;"_"&amp;B90</f>
        <v>SW_DF_002_33</v>
      </c>
      <c r="B90" s="39">
        <v>33</v>
      </c>
      <c r="C90" s="224"/>
      <c r="D90" s="224"/>
      <c r="E90" s="48" t="s">
        <v>157</v>
      </c>
      <c r="F90" s="49"/>
      <c r="G90" s="50"/>
      <c r="H90" s="51"/>
      <c r="I90" s="51"/>
      <c r="J90" s="56"/>
      <c r="K90" s="56"/>
      <c r="L90" s="56"/>
    </row>
    <row r="91" spans="1:12" s="33" customFormat="1" ht="32" outlineLevel="1">
      <c r="A91" s="37" t="str">
        <f>A56&amp;"_"&amp;B91</f>
        <v>SW_DF_002_34</v>
      </c>
      <c r="B91" s="40">
        <v>34</v>
      </c>
      <c r="C91" s="224"/>
      <c r="D91" s="224"/>
      <c r="E91" s="48" t="s">
        <v>158</v>
      </c>
      <c r="F91" s="49"/>
      <c r="G91" s="50"/>
      <c r="H91" s="51"/>
      <c r="I91" s="51"/>
      <c r="J91" s="56"/>
      <c r="K91" s="56"/>
      <c r="L91" s="56"/>
    </row>
    <row r="92" spans="1:12" s="33" customFormat="1" ht="48" outlineLevel="1">
      <c r="A92" s="37" t="str">
        <f>A56&amp;"_"&amp;B92</f>
        <v>SW_DF_002_35</v>
      </c>
      <c r="B92" s="39">
        <v>35</v>
      </c>
      <c r="C92" s="224"/>
      <c r="D92" s="224"/>
      <c r="E92" s="48" t="s">
        <v>159</v>
      </c>
      <c r="F92" s="49"/>
      <c r="G92" s="50"/>
      <c r="H92" s="51"/>
      <c r="I92" s="51"/>
      <c r="J92" s="56"/>
      <c r="K92" s="56"/>
      <c r="L92" s="56"/>
    </row>
    <row r="93" spans="1:12" s="33" customFormat="1" ht="32" outlineLevel="1">
      <c r="A93" s="37" t="str">
        <f>A56&amp;"_"&amp;B93</f>
        <v>SW_DF_002_36</v>
      </c>
      <c r="B93" s="40">
        <v>36</v>
      </c>
      <c r="C93" s="224"/>
      <c r="D93" s="224"/>
      <c r="E93" s="48" t="s">
        <v>160</v>
      </c>
      <c r="F93" s="49"/>
      <c r="G93" s="50"/>
      <c r="H93" s="51"/>
      <c r="I93" s="51"/>
      <c r="J93" s="56"/>
      <c r="K93" s="56"/>
      <c r="L93" s="56"/>
    </row>
    <row r="94" spans="1:12" s="33" customFormat="1" ht="32" outlineLevel="1">
      <c r="A94" s="37" t="str">
        <f>A56&amp;"_"&amp;B94</f>
        <v>SW_DF_002_37</v>
      </c>
      <c r="B94" s="39">
        <v>37</v>
      </c>
      <c r="C94" s="224"/>
      <c r="D94" s="224"/>
      <c r="E94" s="48" t="s">
        <v>161</v>
      </c>
      <c r="F94" s="49"/>
      <c r="G94" s="50"/>
      <c r="H94" s="51"/>
      <c r="I94" s="51"/>
      <c r="J94" s="56"/>
      <c r="K94" s="56"/>
      <c r="L94" s="56"/>
    </row>
    <row r="95" spans="1:12" s="33" customFormat="1" ht="42" customHeight="1" outlineLevel="1">
      <c r="A95" s="37" t="str">
        <f>A56&amp;"_"&amp;B95</f>
        <v>SW_DF_002_38</v>
      </c>
      <c r="B95" s="40">
        <v>38</v>
      </c>
      <c r="C95" s="225"/>
      <c r="D95" s="225"/>
      <c r="E95" s="48" t="s">
        <v>162</v>
      </c>
      <c r="F95" s="49"/>
      <c r="G95" s="50"/>
      <c r="H95" s="51"/>
      <c r="I95" s="51"/>
      <c r="J95" s="56"/>
      <c r="K95" s="56"/>
      <c r="L95" s="56"/>
    </row>
    <row r="96" spans="1:12" s="33" customFormat="1" ht="48" outlineLevel="1">
      <c r="A96" s="37" t="str">
        <f>A56&amp;"_"&amp;B96</f>
        <v>SW_DF_002_39</v>
      </c>
      <c r="B96" s="39">
        <v>39</v>
      </c>
      <c r="C96" s="223" t="s">
        <v>163</v>
      </c>
      <c r="D96" s="223" t="s">
        <v>164</v>
      </c>
      <c r="E96" s="48" t="s">
        <v>165</v>
      </c>
      <c r="F96" s="49"/>
      <c r="G96" s="50"/>
      <c r="H96" s="51"/>
      <c r="I96" s="51"/>
      <c r="J96" s="56"/>
      <c r="K96" s="56"/>
      <c r="L96" s="56"/>
    </row>
    <row r="97" spans="1:12" s="33" customFormat="1" ht="80" outlineLevel="1">
      <c r="A97" s="37" t="str">
        <f>A56&amp;"_"&amp;B97</f>
        <v>SW_DF_002_40</v>
      </c>
      <c r="B97" s="40">
        <v>40</v>
      </c>
      <c r="C97" s="224"/>
      <c r="D97" s="224"/>
      <c r="E97" s="48" t="s">
        <v>166</v>
      </c>
      <c r="F97" s="49"/>
      <c r="G97" s="50"/>
      <c r="H97" s="51"/>
      <c r="I97" s="51"/>
      <c r="J97" s="56"/>
      <c r="K97" s="56"/>
      <c r="L97" s="56"/>
    </row>
    <row r="98" spans="1:12" s="33" customFormat="1" ht="32" outlineLevel="1">
      <c r="A98" s="37" t="str">
        <f>A56&amp;"_"&amp;B98</f>
        <v>SW_DF_002_41</v>
      </c>
      <c r="B98" s="39">
        <v>41</v>
      </c>
      <c r="C98" s="224"/>
      <c r="D98" s="224"/>
      <c r="E98" s="48" t="s">
        <v>167</v>
      </c>
      <c r="F98" s="49"/>
      <c r="G98" s="50"/>
      <c r="H98" s="51"/>
      <c r="I98" s="51"/>
      <c r="J98" s="56"/>
      <c r="K98" s="56"/>
      <c r="L98" s="56"/>
    </row>
    <row r="99" spans="1:12" s="33" customFormat="1" ht="48" outlineLevel="1">
      <c r="A99" s="37" t="str">
        <f>A56&amp;"_"&amp;B99</f>
        <v>SW_DF_002_42</v>
      </c>
      <c r="B99" s="40">
        <v>42</v>
      </c>
      <c r="C99" s="224"/>
      <c r="D99" s="224"/>
      <c r="E99" s="48" t="s">
        <v>168</v>
      </c>
      <c r="F99" s="49"/>
      <c r="G99" s="50"/>
      <c r="H99" s="51"/>
      <c r="I99" s="51"/>
      <c r="J99" s="56"/>
      <c r="K99" s="56"/>
      <c r="L99" s="56"/>
    </row>
    <row r="100" spans="1:12" s="33" customFormat="1" ht="32" outlineLevel="1">
      <c r="A100" s="37" t="str">
        <f>A56&amp;"_"&amp;B100</f>
        <v>SW_DF_002_43</v>
      </c>
      <c r="B100" s="39">
        <v>43</v>
      </c>
      <c r="C100" s="224"/>
      <c r="D100" s="224"/>
      <c r="E100" s="48" t="s">
        <v>169</v>
      </c>
      <c r="F100" s="49"/>
      <c r="G100" s="50"/>
      <c r="H100" s="51"/>
      <c r="I100" s="51"/>
      <c r="J100" s="56"/>
      <c r="K100" s="56"/>
      <c r="L100" s="56"/>
    </row>
    <row r="101" spans="1:12" s="33" customFormat="1" ht="32" outlineLevel="1">
      <c r="A101" s="37" t="str">
        <f>A56&amp;"_"&amp;B101</f>
        <v>SW_DF_002_44</v>
      </c>
      <c r="B101" s="40">
        <v>44</v>
      </c>
      <c r="C101" s="224"/>
      <c r="D101" s="224"/>
      <c r="E101" s="48" t="s">
        <v>170</v>
      </c>
      <c r="F101" s="49"/>
      <c r="G101" s="50"/>
      <c r="H101" s="51"/>
      <c r="I101" s="51"/>
      <c r="J101" s="56"/>
      <c r="K101" s="56"/>
      <c r="L101" s="56"/>
    </row>
    <row r="102" spans="1:12" s="33" customFormat="1" ht="48" outlineLevel="1">
      <c r="A102" s="37" t="str">
        <f>A56&amp;"_"&amp;B102</f>
        <v>SW_DF_002_45</v>
      </c>
      <c r="B102" s="39">
        <v>45</v>
      </c>
      <c r="C102" s="224"/>
      <c r="D102" s="224"/>
      <c r="E102" s="48" t="s">
        <v>171</v>
      </c>
      <c r="F102" s="49"/>
      <c r="G102" s="50"/>
      <c r="H102" s="51"/>
      <c r="I102" s="51"/>
      <c r="J102" s="56"/>
      <c r="K102" s="56"/>
      <c r="L102" s="56"/>
    </row>
    <row r="103" spans="1:12" s="33" customFormat="1" ht="48" outlineLevel="1">
      <c r="A103" s="37" t="str">
        <f>A56&amp;"_"&amp;B103</f>
        <v>SW_DF_002_46</v>
      </c>
      <c r="B103" s="40">
        <v>46</v>
      </c>
      <c r="C103" s="224"/>
      <c r="D103" s="224"/>
      <c r="E103" s="48" t="s">
        <v>172</v>
      </c>
      <c r="F103" s="49"/>
      <c r="G103" s="50"/>
      <c r="H103" s="51"/>
      <c r="I103" s="51"/>
      <c r="J103" s="56"/>
      <c r="K103" s="56"/>
      <c r="L103" s="56"/>
    </row>
    <row r="104" spans="1:12" s="33" customFormat="1" ht="32" outlineLevel="1">
      <c r="A104" s="37" t="str">
        <f>A56&amp;"_"&amp;B104</f>
        <v>SW_DF_002_47</v>
      </c>
      <c r="B104" s="39">
        <v>47</v>
      </c>
      <c r="C104" s="224"/>
      <c r="D104" s="224"/>
      <c r="E104" s="48" t="s">
        <v>173</v>
      </c>
      <c r="F104" s="49"/>
      <c r="G104" s="50"/>
      <c r="H104" s="51"/>
      <c r="I104" s="51"/>
      <c r="J104" s="56"/>
      <c r="K104" s="56"/>
      <c r="L104" s="56"/>
    </row>
    <row r="105" spans="1:12" s="33" customFormat="1" ht="32" outlineLevel="1">
      <c r="A105" s="37" t="str">
        <f>A56&amp;"_"&amp;B105</f>
        <v>SW_DF_002_48</v>
      </c>
      <c r="B105" s="40">
        <v>48</v>
      </c>
      <c r="C105" s="224"/>
      <c r="D105" s="224"/>
      <c r="E105" s="48" t="s">
        <v>174</v>
      </c>
      <c r="F105" s="49"/>
      <c r="G105" s="50"/>
      <c r="H105" s="51"/>
      <c r="I105" s="51"/>
      <c r="J105" s="56"/>
      <c r="K105" s="56"/>
      <c r="L105" s="56"/>
    </row>
    <row r="106" spans="1:12" s="33" customFormat="1" ht="16" outlineLevel="1">
      <c r="A106" s="37" t="str">
        <f>A56&amp;"_"&amp;B106</f>
        <v>SW_DF_002_49</v>
      </c>
      <c r="B106" s="39">
        <v>49</v>
      </c>
      <c r="C106" s="225"/>
      <c r="D106" s="225"/>
      <c r="E106" s="48" t="s">
        <v>175</v>
      </c>
      <c r="F106" s="49"/>
      <c r="G106" s="50"/>
      <c r="H106" s="51"/>
      <c r="I106" s="51"/>
      <c r="J106" s="56"/>
      <c r="K106" s="56"/>
      <c r="L106" s="56"/>
    </row>
    <row r="107" spans="1:12" s="33" customFormat="1" outlineLevel="1">
      <c r="A107" s="41"/>
      <c r="B107" s="41"/>
      <c r="C107" s="42"/>
      <c r="D107" s="42"/>
      <c r="E107" s="42"/>
      <c r="F107" s="53"/>
      <c r="G107" s="53"/>
      <c r="H107" s="41"/>
      <c r="I107" s="41"/>
    </row>
  </sheetData>
  <mergeCells count="29">
    <mergeCell ref="D73:D79"/>
    <mergeCell ref="D80:D83"/>
    <mergeCell ref="D84:D86"/>
    <mergeCell ref="D87:D95"/>
    <mergeCell ref="D96:D106"/>
    <mergeCell ref="D31:D33"/>
    <mergeCell ref="D34:D42"/>
    <mergeCell ref="D43:D53"/>
    <mergeCell ref="D58:D66"/>
    <mergeCell ref="D67:D72"/>
    <mergeCell ref="C73:C79"/>
    <mergeCell ref="C80:C83"/>
    <mergeCell ref="C84:C86"/>
    <mergeCell ref="C87:C95"/>
    <mergeCell ref="C96:C106"/>
    <mergeCell ref="C31:C33"/>
    <mergeCell ref="C34:C42"/>
    <mergeCell ref="C43:C53"/>
    <mergeCell ref="C58:C66"/>
    <mergeCell ref="C67:C72"/>
    <mergeCell ref="A1:L1"/>
    <mergeCell ref="C5:C13"/>
    <mergeCell ref="C14:C19"/>
    <mergeCell ref="C20:C26"/>
    <mergeCell ref="C27:C30"/>
    <mergeCell ref="D5:D13"/>
    <mergeCell ref="D14:D19"/>
    <mergeCell ref="D20:D26"/>
    <mergeCell ref="D27:D30"/>
  </mergeCells>
  <conditionalFormatting sqref="F14:F24">
    <cfRule type="cellIs" dxfId="15" priority="18" stopIfTrue="1" operator="equal">
      <formula>"无法测试"</formula>
    </cfRule>
    <cfRule type="cellIs" dxfId="14" priority="19" stopIfTrue="1" operator="equal">
      <formula>"不涉及"</formula>
    </cfRule>
    <cfRule type="cellIs" dxfId="13" priority="20" stopIfTrue="1" operator="equal">
      <formula>"未评审"</formula>
    </cfRule>
    <cfRule type="cellIs" dxfId="12" priority="21" stopIfTrue="1" operator="equal">
      <formula>"已评审"</formula>
    </cfRule>
  </conditionalFormatting>
  <conditionalFormatting sqref="F67:F77">
    <cfRule type="cellIs" dxfId="11" priority="2" stopIfTrue="1" operator="equal">
      <formula>"无法测试"</formula>
    </cfRule>
    <cfRule type="cellIs" dxfId="10" priority="3" stopIfTrue="1" operator="equal">
      <formula>"不涉及"</formula>
    </cfRule>
    <cfRule type="cellIs" dxfId="9" priority="4" stopIfTrue="1" operator="equal">
      <formula>"未评审"</formula>
    </cfRule>
    <cfRule type="cellIs" dxfId="8" priority="5" stopIfTrue="1" operator="equal">
      <formula>"已评审"</formula>
    </cfRule>
  </conditionalFormatting>
  <conditionalFormatting sqref="F14:G24">
    <cfRule type="cellIs" dxfId="7" priority="17" stopIfTrue="1" operator="equal">
      <formula>"待确认"</formula>
    </cfRule>
  </conditionalFormatting>
  <conditionalFormatting sqref="F67:G77">
    <cfRule type="cellIs" dxfId="6" priority="1" stopIfTrue="1" operator="equal">
      <formula>"待确认"</formula>
    </cfRule>
  </conditionalFormatting>
  <conditionalFormatting sqref="G14:G24">
    <cfRule type="cellIs" dxfId="5" priority="22" stopIfTrue="1" operator="equal">
      <formula>"Not test"</formula>
    </cfRule>
    <cfRule type="cellIs" dxfId="4" priority="22" stopIfTrue="1" operator="equal">
      <formula>"N/A"</formula>
    </cfRule>
    <cfRule type="cellIs" dxfId="3" priority="22" stopIfTrue="1" operator="equal">
      <formula>"Pass"</formula>
    </cfRule>
  </conditionalFormatting>
  <conditionalFormatting sqref="G67:G77">
    <cfRule type="cellIs" dxfId="2" priority="6" stopIfTrue="1" operator="equal">
      <formula>"Not test"</formula>
    </cfRule>
  </conditionalFormatting>
  <dataValidations count="16">
    <dataValidation type="list" allowBlank="1" showInputMessage="1" showErrorMessage="1" sqref="F14 F67" xr:uid="{00000000-0002-0000-0600-000000000000}">
      <formula1>"已评审,未评审,不涉及,无法测试,待确认"</formula1>
    </dataValidation>
    <dataValidation type="list" allowBlank="1" showInputMessage="1" showErrorMessage="1" sqref="G14 G67" xr:uid="{00000000-0002-0000-0600-000001000000}">
      <formula1>"NG,N/A,Pass,Not test,Archived,待确认"</formula1>
    </dataValidation>
    <dataValidation type="list" allowBlank="1" showInputMessage="1" showErrorMessage="1" sqref="F15 F68" xr:uid="{00000000-0002-0000-0600-000002000000}">
      <formula1>"已评审,未评审,不涉及,无法测试,待确认,Applicable?"</formula1>
    </dataValidation>
    <dataValidation type="list" allowBlank="1" showInputMessage="1" showErrorMessage="1" sqref="G15 G68" xr:uid="{00000000-0002-0000-0600-000003000000}">
      <formula1>"NG,N/A,Pass,Not test,Archived,待确认,failure effect for SG"</formula1>
    </dataValidation>
    <dataValidation type="list" allowBlank="1" showInputMessage="1" showErrorMessage="1" sqref="F16 F69" xr:uid="{00000000-0002-0000-0600-000004000000}">
      <formula1>"已评审,未评审,不涉及,无法测试,待确认,Yes- execution time"</formula1>
    </dataValidation>
    <dataValidation type="list" allowBlank="1" showInputMessage="1" showErrorMessage="1" sqref="G16 G69" xr:uid="{00000000-0002-0000-0600-000005000000}">
      <formula1>"NG,N/A,Pass,Not test,Archived,待确认,加速踏板解析
&amp;
扭矩计算 在同一个任务周期中运行，运行时间，错误，将采集的加速踏板数据和扭矩计算的数据不能体现驾驶员的实时请求，造成非预期的加速或者减速"</formula1>
    </dataValidation>
    <dataValidation type="list" allowBlank="1" showInputMessage="1" showErrorMessage="1" sqref="F17 F70" xr:uid="{00000000-0002-0000-0600-000006000000}">
      <formula1>"已评审,未评审,不涉及,无法测试,待确认,Yes : operating system including scheduler"</formula1>
    </dataValidation>
    <dataValidation type="list" allowBlank="1" showInputMessage="1" showErrorMessage="1" sqref="G17 G70" xr:uid="{00000000-0002-0000-0600-000007000000}">
      <formula1>"NG,N/A,Pass,Not test,Archived,待确认,task 错误
[1][stuck/ more/less]，造成充电命令一直发出
[充电过充]/ 
[2]充电命令发送过早或者过晚"</formula1>
    </dataValidation>
    <dataValidation type="list" allowBlank="1" showInputMessage="1" showErrorMessage="1" sqref="F18 F71" xr:uid="{00000000-0002-0000-0600-000008000000}">
      <formula1>"已评审,未评审,不涉及,无法测试,待确认,Yes-  allocated memory"</formula1>
    </dataValidation>
    <dataValidation type="list" allowBlank="1" showInputMessage="1" showErrorMessage="1" sqref="G18 G71" xr:uid="{00000000-0002-0000-0600-000009000000}">
      <formula1>"NG,N/A,Pass,Not test,Archived,待确认,加速踏板解析
&amp;
扭矩计算  在同一个RAM 中运行，ram 错误，将错误的计算扭矩"</formula1>
    </dataValidation>
    <dataValidation type="list" allowBlank="1" showInputMessage="1" showErrorMessage="1" sqref="F22 F75" xr:uid="{00000000-0002-0000-0600-00000A000000}">
      <formula1>"已评审,未评审,不涉及,无法测试,待确认,Yes-Hardware-level under and over voltage of the power supply"</formula1>
    </dataValidation>
    <dataValidation type="list" allowBlank="1" showInputMessage="1" showErrorMessage="1" sqref="G22 G75" xr:uid="{00000000-0002-0000-0600-00000B000000}">
      <formula1>"NG,N/A,Pass,Not test,Archived,待确认,加速踏板解析
&amp;
扭矩计算 当硬件过压时，加速踏板解析的值偏大，扭矩计算过大，导致非预期的加速"</formula1>
    </dataValidation>
    <dataValidation type="list" allowBlank="1" showInputMessage="1" showErrorMessage="1" sqref="F23 F76" xr:uid="{00000000-0002-0000-0600-00000C000000}">
      <formula1>"已评审,未评审,不涉及,无法测试,待确认,Yes-incorrect allocation of execution time"</formula1>
    </dataValidation>
    <dataValidation type="list" allowBlank="1" showInputMessage="1" showErrorMessage="1" sqref="G23 G76" xr:uid="{00000000-0002-0000-0600-00000D000000}">
      <formula1>"NG,N/A,Pass,Not test,Archived,待确认,加速踏板解析
&amp;
扭矩计算 当执行时间分配错误时，加速踏板解析的值不正确，扭矩计算的数据不能体现驾驶员的实时请求，造成非预期的加速或者减速"</formula1>
    </dataValidation>
    <dataValidation type="list" allowBlank="1" showInputMessage="1" showErrorMessage="1" sqref="F24 F77 F19:F21 F72:F74" xr:uid="{00000000-0002-0000-0600-00000E000000}">
      <formula1>"已评审,未评审,不涉及,无法测试,待确认,NO"</formula1>
    </dataValidation>
    <dataValidation type="list" allowBlank="1" showInputMessage="1" showErrorMessage="1" sqref="G24 G77 G19:G21 G72:G74" xr:uid="{00000000-0002-0000-0600-00000F000000}">
      <formula1>"NG,N/A,Pass,Not test,Archived,待确认,Not Applicable"</formula1>
    </dataValidation>
  </dataValidations>
  <pageMargins left="0.23611099999999999" right="0.157639" top="0.315278" bottom="0.27569399999999999" header="0.51181100000000002" footer="0.315278"/>
  <pageSetup orientation="landscape"/>
  <headerFooter>
    <oddFooter>&amp;L&amp;"SimSun,Regular"&amp;11&amp;K000000状态：批准
Status:Approval&amp;R&amp;"SimSun,Regular"&amp;11&amp;K000000信息等级：C(内部文件）
Information Level:C(Internal)</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28"/>
  <sheetViews>
    <sheetView showGridLines="0" zoomScale="122" zoomScaleNormal="122" workbookViewId="0">
      <selection activeCell="H3" sqref="H3"/>
    </sheetView>
  </sheetViews>
  <sheetFormatPr baseColWidth="10" defaultColWidth="6.6640625" defaultRowHeight="12" customHeight="1"/>
  <cols>
    <col min="1" max="1" width="20" style="24" customWidth="1"/>
    <col min="2" max="2" width="74" style="24" customWidth="1"/>
    <col min="3" max="4" width="13.33203125" style="24" customWidth="1"/>
    <col min="5" max="5" width="20" style="24" customWidth="1"/>
    <col min="6" max="6" width="9.83203125" style="24" customWidth="1"/>
    <col min="7" max="7" width="19.1640625" style="24" customWidth="1"/>
    <col min="8" max="16384" width="6.6640625" style="24"/>
  </cols>
  <sheetData>
    <row r="1" spans="1:8" ht="35.25" customHeight="1">
      <c r="A1" s="230" t="s">
        <v>176</v>
      </c>
      <c r="B1" s="231"/>
      <c r="C1" s="231"/>
      <c r="D1" s="231"/>
      <c r="E1" s="231"/>
      <c r="F1" s="231"/>
      <c r="G1" s="231"/>
      <c r="H1" s="231"/>
    </row>
    <row r="2" spans="1:8" ht="31.5" customHeight="1">
      <c r="A2" s="25" t="s">
        <v>177</v>
      </c>
      <c r="B2" s="25" t="s">
        <v>178</v>
      </c>
      <c r="C2" s="25" t="s">
        <v>179</v>
      </c>
      <c r="D2" s="25" t="s">
        <v>180</v>
      </c>
      <c r="E2" s="25" t="s">
        <v>181</v>
      </c>
      <c r="F2" s="25" t="s">
        <v>182</v>
      </c>
      <c r="G2" s="25" t="s">
        <v>183</v>
      </c>
      <c r="H2" s="25" t="s">
        <v>197</v>
      </c>
    </row>
    <row r="3" spans="1:8" ht="43" customHeight="1">
      <c r="A3" s="26" t="s">
        <v>184</v>
      </c>
      <c r="B3" s="27" t="s">
        <v>185</v>
      </c>
      <c r="C3" s="26" t="s">
        <v>186</v>
      </c>
      <c r="D3" s="26"/>
      <c r="E3" s="31" t="s">
        <v>187</v>
      </c>
      <c r="F3" s="31" t="s">
        <v>188</v>
      </c>
      <c r="G3" s="31" t="s">
        <v>189</v>
      </c>
      <c r="H3" s="31"/>
    </row>
    <row r="4" spans="1:8" ht="33" customHeight="1">
      <c r="A4" s="26" t="s">
        <v>190</v>
      </c>
      <c r="B4" s="27" t="s">
        <v>191</v>
      </c>
      <c r="C4" s="26" t="s">
        <v>186</v>
      </c>
      <c r="D4" s="26"/>
      <c r="E4" s="31"/>
      <c r="F4" s="31"/>
      <c r="G4" s="31"/>
      <c r="H4" s="31"/>
    </row>
    <row r="5" spans="1:8" ht="23" customHeight="1">
      <c r="A5" s="26" t="s">
        <v>192</v>
      </c>
      <c r="B5" s="27" t="s">
        <v>193</v>
      </c>
      <c r="C5" s="26" t="s">
        <v>186</v>
      </c>
      <c r="D5" s="26"/>
      <c r="E5" s="31"/>
      <c r="F5" s="31"/>
      <c r="G5" s="31"/>
      <c r="H5" s="31"/>
    </row>
    <row r="6" spans="1:8" ht="23" customHeight="1">
      <c r="A6" s="26" t="s">
        <v>194</v>
      </c>
      <c r="B6" s="27" t="s">
        <v>195</v>
      </c>
      <c r="C6" s="26" t="s">
        <v>186</v>
      </c>
      <c r="D6" s="26"/>
      <c r="E6" s="31"/>
      <c r="F6" s="31"/>
      <c r="G6" s="31"/>
      <c r="H6" s="31"/>
    </row>
    <row r="7" spans="1:8" ht="19.5" customHeight="1">
      <c r="A7" s="28"/>
      <c r="B7" s="28"/>
      <c r="C7" s="28"/>
      <c r="D7" s="28"/>
      <c r="E7" s="32"/>
      <c r="F7" s="32"/>
      <c r="G7" s="32"/>
    </row>
    <row r="8" spans="1:8" ht="14.25" customHeight="1">
      <c r="A8" s="28"/>
      <c r="B8" s="28"/>
      <c r="C8" s="28"/>
      <c r="D8" s="28"/>
      <c r="E8" s="32"/>
      <c r="F8" s="32"/>
      <c r="G8" s="32"/>
    </row>
    <row r="9" spans="1:8" ht="19.5" customHeight="1">
      <c r="A9" s="28"/>
      <c r="B9" s="28"/>
      <c r="C9" s="28"/>
      <c r="D9" s="28"/>
      <c r="E9" s="32"/>
      <c r="F9" s="32"/>
      <c r="G9" s="32"/>
    </row>
    <row r="10" spans="1:8" ht="19.5" customHeight="1">
      <c r="A10" s="28"/>
      <c r="B10" s="28"/>
      <c r="C10" s="28"/>
      <c r="D10" s="28"/>
      <c r="E10" s="32"/>
      <c r="F10" s="32"/>
      <c r="G10" s="32"/>
    </row>
    <row r="11" spans="1:8" ht="19.5" customHeight="1">
      <c r="A11" s="28"/>
      <c r="B11" s="28"/>
      <c r="C11" s="28"/>
      <c r="D11" s="28"/>
      <c r="E11" s="32"/>
      <c r="F11" s="32"/>
      <c r="G11" s="32"/>
    </row>
    <row r="12" spans="1:8" ht="19.5" customHeight="1">
      <c r="A12" s="28"/>
      <c r="B12" s="28"/>
      <c r="C12" s="28"/>
      <c r="D12" s="28"/>
      <c r="E12" s="32"/>
      <c r="F12" s="32"/>
      <c r="G12" s="32"/>
    </row>
    <row r="13" spans="1:8" ht="14.25" customHeight="1">
      <c r="A13" s="28"/>
      <c r="B13" s="28"/>
      <c r="C13" s="28"/>
      <c r="D13" s="28"/>
      <c r="E13" s="32"/>
      <c r="F13" s="32"/>
      <c r="G13" s="32"/>
    </row>
    <row r="14" spans="1:8" ht="19.5" customHeight="1">
      <c r="A14" s="28"/>
      <c r="B14" s="28"/>
      <c r="C14" s="28"/>
      <c r="D14" s="28"/>
      <c r="E14" s="32"/>
      <c r="F14" s="32"/>
      <c r="G14" s="32"/>
    </row>
    <row r="15" spans="1:8" ht="19.5" customHeight="1">
      <c r="A15" s="28"/>
      <c r="B15" s="28"/>
      <c r="C15" s="28"/>
      <c r="D15" s="28"/>
      <c r="E15" s="32"/>
      <c r="F15" s="32"/>
      <c r="G15" s="32"/>
    </row>
    <row r="16" spans="1:8" ht="19.5" customHeight="1">
      <c r="A16" s="28"/>
      <c r="B16" s="28"/>
      <c r="C16" s="28"/>
      <c r="D16" s="28"/>
      <c r="E16" s="32"/>
      <c r="F16" s="32"/>
      <c r="G16" s="32"/>
    </row>
    <row r="17" spans="1:7" ht="19.5" customHeight="1">
      <c r="A17" s="28"/>
      <c r="B17" s="28"/>
      <c r="C17" s="28"/>
      <c r="D17" s="28"/>
      <c r="E17" s="32"/>
      <c r="F17" s="32"/>
      <c r="G17" s="32"/>
    </row>
    <row r="18" spans="1:7" ht="19.5" customHeight="1">
      <c r="A18" s="28"/>
      <c r="B18" s="28"/>
      <c r="C18" s="28"/>
      <c r="D18" s="28"/>
      <c r="E18" s="32"/>
      <c r="F18" s="32"/>
      <c r="G18" s="32"/>
    </row>
    <row r="19" spans="1:7" ht="19.5" customHeight="1">
      <c r="A19" s="28"/>
      <c r="B19" s="28"/>
      <c r="C19" s="28"/>
      <c r="D19" s="28"/>
      <c r="E19" s="32"/>
      <c r="F19" s="32"/>
      <c r="G19" s="32"/>
    </row>
    <row r="20" spans="1:7" ht="19.5" customHeight="1">
      <c r="A20" s="28"/>
      <c r="B20" s="28"/>
      <c r="C20" s="28"/>
      <c r="D20" s="28"/>
      <c r="E20" s="32"/>
      <c r="F20" s="32"/>
      <c r="G20" s="32"/>
    </row>
    <row r="21" spans="1:7" ht="19.5" customHeight="1">
      <c r="A21" s="28"/>
      <c r="B21" s="28"/>
      <c r="C21" s="28"/>
      <c r="D21" s="28"/>
      <c r="E21" s="32"/>
      <c r="F21" s="32"/>
      <c r="G21" s="32"/>
    </row>
    <row r="22" spans="1:7" ht="19.5" customHeight="1">
      <c r="A22" s="28"/>
      <c r="B22" s="28"/>
      <c r="C22" s="28"/>
      <c r="D22" s="28"/>
      <c r="E22" s="32"/>
      <c r="F22" s="32"/>
      <c r="G22" s="32"/>
    </row>
    <row r="23" spans="1:7" ht="19.5" customHeight="1">
      <c r="A23" s="28"/>
      <c r="B23" s="28"/>
      <c r="C23" s="28"/>
      <c r="D23" s="28"/>
      <c r="E23" s="32"/>
      <c r="F23" s="32"/>
      <c r="G23" s="32"/>
    </row>
    <row r="24" spans="1:7" ht="19.5" customHeight="1">
      <c r="A24" s="28"/>
      <c r="B24" s="28"/>
      <c r="C24" s="28"/>
      <c r="D24" s="28"/>
      <c r="E24" s="32"/>
      <c r="F24" s="32"/>
      <c r="G24" s="32"/>
    </row>
    <row r="25" spans="1:7" ht="14.25" customHeight="1">
      <c r="A25" s="28"/>
      <c r="B25" s="28"/>
      <c r="C25" s="28"/>
      <c r="D25" s="28"/>
      <c r="E25" s="32"/>
      <c r="F25" s="32"/>
      <c r="G25" s="32"/>
    </row>
    <row r="26" spans="1:7" ht="14.25" customHeight="1">
      <c r="A26" s="28"/>
      <c r="B26" s="28"/>
      <c r="C26" s="28"/>
      <c r="D26" s="28"/>
      <c r="E26" s="32"/>
      <c r="F26" s="32"/>
      <c r="G26" s="32"/>
    </row>
    <row r="27" spans="1:7" ht="19.5" customHeight="1">
      <c r="A27" s="29"/>
      <c r="B27" s="30"/>
      <c r="C27" s="30"/>
      <c r="D27" s="30"/>
      <c r="E27" s="32"/>
      <c r="F27" s="32"/>
      <c r="G27" s="32"/>
    </row>
    <row r="28" spans="1:7" ht="19.5" customHeight="1">
      <c r="A28" s="29"/>
      <c r="B28" s="30"/>
      <c r="C28" s="30"/>
      <c r="D28" s="30"/>
      <c r="E28" s="32"/>
      <c r="F28" s="32"/>
      <c r="G28" s="32"/>
    </row>
  </sheetData>
  <mergeCells count="1">
    <mergeCell ref="A1:H1"/>
  </mergeCells>
  <pageMargins left="0.23611099999999999" right="0.157639" top="0.315278" bottom="0.27569399999999999" header="0.51181100000000002" footer="0.315278"/>
  <pageSetup orientation="landscape"/>
  <headerFooter>
    <oddFooter>&amp;L&amp;"SimSun,Regular"&amp;11&amp;K000000状态：批准
Status:Approval&amp;R&amp;"SimSun,Regular"&amp;11&amp;K000000信息等级：C(内部文件）
Information Level:C(Internal)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23C8D-B9DF-5E49-BE4D-31B0A279A610}">
  <dimension ref="A2:M52"/>
  <sheetViews>
    <sheetView tabSelected="1" workbookViewId="0">
      <selection activeCell="Q4" sqref="Q4"/>
    </sheetView>
  </sheetViews>
  <sheetFormatPr baseColWidth="10" defaultRowHeight="14"/>
  <sheetData>
    <row r="2" spans="1:13" ht="36">
      <c r="A2" s="234" t="s">
        <v>205</v>
      </c>
      <c r="B2" s="234" t="s">
        <v>206</v>
      </c>
      <c r="C2" s="234" t="s">
        <v>96</v>
      </c>
      <c r="D2" s="234" t="s">
        <v>97</v>
      </c>
      <c r="E2" s="234" t="s">
        <v>207</v>
      </c>
      <c r="F2" s="234" t="s">
        <v>99</v>
      </c>
      <c r="G2" s="234" t="s">
        <v>208</v>
      </c>
      <c r="H2" s="234" t="s">
        <v>263</v>
      </c>
      <c r="I2" s="234" t="s">
        <v>210</v>
      </c>
      <c r="J2" s="234" t="s">
        <v>209</v>
      </c>
      <c r="K2" s="234" t="s">
        <v>103</v>
      </c>
      <c r="L2" s="234" t="s">
        <v>211</v>
      </c>
      <c r="M2" s="234" t="s">
        <v>105</v>
      </c>
    </row>
    <row r="3" spans="1:13">
      <c r="A3" s="244" t="s">
        <v>212</v>
      </c>
      <c r="B3" s="245"/>
      <c r="C3" s="245"/>
      <c r="D3" s="245"/>
      <c r="E3" s="245"/>
      <c r="F3" s="245"/>
      <c r="G3" s="245"/>
      <c r="H3" s="245"/>
      <c r="I3" s="245"/>
      <c r="J3" s="245"/>
      <c r="K3" s="245"/>
      <c r="L3" s="245"/>
      <c r="M3" s="246"/>
    </row>
    <row r="4" spans="1:13" ht="96">
      <c r="A4" s="238" t="s">
        <v>213</v>
      </c>
      <c r="B4" s="241" t="s">
        <v>214</v>
      </c>
      <c r="C4" s="238" t="s">
        <v>106</v>
      </c>
      <c r="D4" s="238" t="s">
        <v>107</v>
      </c>
      <c r="E4" s="235" t="s">
        <v>264</v>
      </c>
      <c r="F4" s="236" t="s">
        <v>215</v>
      </c>
      <c r="G4" s="236" t="s">
        <v>215</v>
      </c>
      <c r="H4" s="236"/>
      <c r="I4" s="236"/>
      <c r="J4" s="236"/>
      <c r="K4" s="236"/>
      <c r="L4" s="236"/>
      <c r="M4" s="236"/>
    </row>
    <row r="5" spans="1:13">
      <c r="A5" s="239"/>
      <c r="B5" s="242"/>
      <c r="C5" s="239"/>
      <c r="D5" s="239"/>
      <c r="E5" s="235" t="s">
        <v>216</v>
      </c>
      <c r="F5" s="236" t="s">
        <v>215</v>
      </c>
      <c r="G5" s="236" t="s">
        <v>215</v>
      </c>
      <c r="H5" s="236"/>
      <c r="I5" s="236"/>
      <c r="J5" s="236"/>
      <c r="K5" s="236"/>
      <c r="L5" s="236"/>
      <c r="M5" s="236"/>
    </row>
    <row r="6" spans="1:13">
      <c r="A6" s="239"/>
      <c r="B6" s="242"/>
      <c r="C6" s="239"/>
      <c r="D6" s="239"/>
      <c r="E6" s="235" t="s">
        <v>217</v>
      </c>
      <c r="F6" s="236" t="s">
        <v>215</v>
      </c>
      <c r="G6" s="236" t="s">
        <v>215</v>
      </c>
      <c r="H6" s="236"/>
      <c r="I6" s="236"/>
      <c r="J6" s="236"/>
      <c r="K6" s="236"/>
      <c r="L6" s="236"/>
      <c r="M6" s="236"/>
    </row>
    <row r="7" spans="1:13">
      <c r="A7" s="239"/>
      <c r="B7" s="242"/>
      <c r="C7" s="239"/>
      <c r="D7" s="239"/>
      <c r="E7" s="235" t="s">
        <v>218</v>
      </c>
      <c r="F7" s="236" t="s">
        <v>215</v>
      </c>
      <c r="G7" s="236" t="s">
        <v>215</v>
      </c>
      <c r="H7" s="236"/>
      <c r="I7" s="236"/>
      <c r="J7" s="236"/>
      <c r="K7" s="236"/>
      <c r="L7" s="236"/>
      <c r="M7" s="236"/>
    </row>
    <row r="8" spans="1:13" ht="36">
      <c r="A8" s="239"/>
      <c r="B8" s="242"/>
      <c r="C8" s="239"/>
      <c r="D8" s="239"/>
      <c r="E8" s="235" t="s">
        <v>219</v>
      </c>
      <c r="F8" s="236" t="s">
        <v>93</v>
      </c>
      <c r="G8" s="236" t="s">
        <v>93</v>
      </c>
      <c r="H8" s="236"/>
      <c r="I8" s="236"/>
      <c r="J8" s="236" t="s">
        <v>220</v>
      </c>
      <c r="K8" s="236" t="s">
        <v>221</v>
      </c>
      <c r="L8" s="236" t="s">
        <v>93</v>
      </c>
      <c r="M8" s="236"/>
    </row>
    <row r="9" spans="1:13" ht="36">
      <c r="A9" s="239"/>
      <c r="B9" s="242"/>
      <c r="C9" s="239"/>
      <c r="D9" s="239"/>
      <c r="E9" s="235" t="s">
        <v>222</v>
      </c>
      <c r="F9" s="236" t="s">
        <v>215</v>
      </c>
      <c r="G9" s="236" t="s">
        <v>215</v>
      </c>
      <c r="H9" s="236"/>
      <c r="I9" s="236"/>
      <c r="J9" s="236"/>
      <c r="K9" s="236"/>
      <c r="L9" s="236"/>
      <c r="M9" s="236"/>
    </row>
    <row r="10" spans="1:13" ht="36">
      <c r="A10" s="239"/>
      <c r="B10" s="242"/>
      <c r="C10" s="239"/>
      <c r="D10" s="239"/>
      <c r="E10" s="235" t="s">
        <v>223</v>
      </c>
      <c r="F10" s="236" t="s">
        <v>93</v>
      </c>
      <c r="G10" s="236" t="s">
        <v>93</v>
      </c>
      <c r="H10" s="236"/>
      <c r="I10" s="236"/>
      <c r="J10" s="236" t="s">
        <v>224</v>
      </c>
      <c r="K10" s="236" t="s">
        <v>225</v>
      </c>
      <c r="L10" s="236" t="s">
        <v>93</v>
      </c>
      <c r="M10" s="236"/>
    </row>
    <row r="11" spans="1:13" ht="72">
      <c r="A11" s="239"/>
      <c r="B11" s="242"/>
      <c r="C11" s="239"/>
      <c r="D11" s="239"/>
      <c r="E11" s="235" t="s">
        <v>226</v>
      </c>
      <c r="F11" s="236" t="s">
        <v>215</v>
      </c>
      <c r="G11" s="236" t="s">
        <v>215</v>
      </c>
      <c r="H11" s="236"/>
      <c r="I11" s="236"/>
      <c r="J11" s="236" t="s">
        <v>227</v>
      </c>
      <c r="K11" s="236" t="s">
        <v>221</v>
      </c>
      <c r="L11" s="236" t="s">
        <v>93</v>
      </c>
      <c r="M11" s="236"/>
    </row>
    <row r="12" spans="1:13" ht="48">
      <c r="A12" s="239"/>
      <c r="B12" s="242"/>
      <c r="C12" s="240"/>
      <c r="D12" s="240"/>
      <c r="E12" s="235" t="s">
        <v>228</v>
      </c>
      <c r="F12" s="236" t="s">
        <v>93</v>
      </c>
      <c r="G12" s="236" t="s">
        <v>93</v>
      </c>
      <c r="H12" s="236"/>
      <c r="I12" s="236"/>
      <c r="J12" s="236" t="s">
        <v>229</v>
      </c>
      <c r="K12" s="236" t="s">
        <v>230</v>
      </c>
      <c r="L12" s="236" t="s">
        <v>93</v>
      </c>
      <c r="M12" s="236"/>
    </row>
    <row r="13" spans="1:13" ht="36">
      <c r="A13" s="239"/>
      <c r="B13" s="242"/>
      <c r="C13" s="238" t="s">
        <v>124</v>
      </c>
      <c r="D13" s="238" t="s">
        <v>231</v>
      </c>
      <c r="E13" s="235" t="s">
        <v>265</v>
      </c>
      <c r="F13" s="236" t="s">
        <v>215</v>
      </c>
      <c r="G13" s="236" t="s">
        <v>215</v>
      </c>
      <c r="H13" s="236"/>
      <c r="I13" s="236"/>
      <c r="J13" s="236"/>
      <c r="K13" s="236"/>
      <c r="L13" s="236"/>
      <c r="M13" s="236"/>
    </row>
    <row r="14" spans="1:13" ht="36">
      <c r="A14" s="239"/>
      <c r="B14" s="242"/>
      <c r="C14" s="239"/>
      <c r="D14" s="239"/>
      <c r="E14" s="235" t="s">
        <v>266</v>
      </c>
      <c r="F14" s="236" t="s">
        <v>215</v>
      </c>
      <c r="G14" s="236" t="s">
        <v>215</v>
      </c>
      <c r="H14" s="236"/>
      <c r="I14" s="236"/>
      <c r="J14" s="236"/>
      <c r="K14" s="236"/>
      <c r="L14" s="236"/>
      <c r="M14" s="236"/>
    </row>
    <row r="15" spans="1:13">
      <c r="A15" s="239"/>
      <c r="B15" s="242"/>
      <c r="C15" s="239"/>
      <c r="D15" s="239"/>
      <c r="E15" s="235" t="s">
        <v>267</v>
      </c>
      <c r="F15" s="236" t="s">
        <v>215</v>
      </c>
      <c r="G15" s="236" t="s">
        <v>215</v>
      </c>
      <c r="H15" s="236"/>
      <c r="I15" s="236"/>
      <c r="J15" s="236"/>
      <c r="K15" s="236"/>
      <c r="L15" s="236"/>
      <c r="M15" s="236"/>
    </row>
    <row r="16" spans="1:13" ht="36">
      <c r="A16" s="239"/>
      <c r="B16" s="242"/>
      <c r="C16" s="239"/>
      <c r="D16" s="239"/>
      <c r="E16" s="235" t="s">
        <v>268</v>
      </c>
      <c r="F16" s="236" t="s">
        <v>93</v>
      </c>
      <c r="G16" s="236" t="s">
        <v>93</v>
      </c>
      <c r="H16" s="236" t="s">
        <v>269</v>
      </c>
      <c r="I16" s="236"/>
      <c r="J16" s="236" t="s">
        <v>220</v>
      </c>
      <c r="K16" s="236" t="s">
        <v>221</v>
      </c>
      <c r="L16" s="236" t="s">
        <v>93</v>
      </c>
      <c r="M16" s="236"/>
    </row>
    <row r="17" spans="1:13" ht="36">
      <c r="A17" s="239"/>
      <c r="B17" s="242"/>
      <c r="C17" s="239"/>
      <c r="D17" s="239"/>
      <c r="E17" s="235" t="s">
        <v>270</v>
      </c>
      <c r="F17" s="236" t="s">
        <v>215</v>
      </c>
      <c r="G17" s="236" t="s">
        <v>215</v>
      </c>
      <c r="H17" s="236"/>
      <c r="I17" s="236"/>
      <c r="J17" s="236"/>
      <c r="K17" s="236"/>
      <c r="L17" s="236"/>
      <c r="M17" s="236"/>
    </row>
    <row r="18" spans="1:13">
      <c r="A18" s="239"/>
      <c r="B18" s="242"/>
      <c r="C18" s="240"/>
      <c r="D18" s="240"/>
      <c r="E18" s="235" t="s">
        <v>271</v>
      </c>
      <c r="F18" s="236" t="s">
        <v>215</v>
      </c>
      <c r="G18" s="236" t="s">
        <v>215</v>
      </c>
      <c r="H18" s="236"/>
      <c r="I18" s="236"/>
      <c r="J18" s="236"/>
      <c r="K18" s="236"/>
      <c r="L18" s="236"/>
      <c r="M18" s="236"/>
    </row>
    <row r="19" spans="1:13" ht="144">
      <c r="A19" s="239"/>
      <c r="B19" s="242"/>
      <c r="C19" s="238" t="s">
        <v>132</v>
      </c>
      <c r="D19" s="238" t="s">
        <v>133</v>
      </c>
      <c r="E19" s="235" t="s">
        <v>272</v>
      </c>
      <c r="F19" s="236" t="s">
        <v>215</v>
      </c>
      <c r="G19" s="236" t="s">
        <v>215</v>
      </c>
      <c r="H19" s="236"/>
      <c r="I19" s="236"/>
      <c r="J19" s="236"/>
      <c r="K19" s="236"/>
      <c r="L19" s="236"/>
      <c r="M19" s="236"/>
    </row>
    <row r="20" spans="1:13" ht="108">
      <c r="A20" s="239"/>
      <c r="B20" s="242"/>
      <c r="C20" s="239"/>
      <c r="D20" s="239"/>
      <c r="E20" s="235" t="s">
        <v>273</v>
      </c>
      <c r="F20" s="236" t="s">
        <v>232</v>
      </c>
      <c r="G20" s="236" t="s">
        <v>232</v>
      </c>
      <c r="H20" s="236" t="s">
        <v>233</v>
      </c>
      <c r="I20" s="236"/>
      <c r="J20" s="236" t="s">
        <v>234</v>
      </c>
      <c r="K20" s="236" t="s">
        <v>235</v>
      </c>
      <c r="L20" s="236" t="s">
        <v>236</v>
      </c>
      <c r="M20" s="236"/>
    </row>
    <row r="21" spans="1:13" ht="36">
      <c r="A21" s="239"/>
      <c r="B21" s="242"/>
      <c r="C21" s="239"/>
      <c r="D21" s="239"/>
      <c r="E21" s="235" t="s">
        <v>274</v>
      </c>
      <c r="F21" s="236" t="s">
        <v>232</v>
      </c>
      <c r="G21" s="236" t="s">
        <v>232</v>
      </c>
      <c r="H21" s="236" t="s">
        <v>275</v>
      </c>
      <c r="I21" s="236"/>
      <c r="J21" s="236" t="s">
        <v>276</v>
      </c>
      <c r="K21" s="236"/>
      <c r="L21" s="236"/>
      <c r="M21" s="236"/>
    </row>
    <row r="22" spans="1:13" ht="36">
      <c r="A22" s="239"/>
      <c r="B22" s="242"/>
      <c r="C22" s="239"/>
      <c r="D22" s="239"/>
      <c r="E22" s="235" t="s">
        <v>277</v>
      </c>
      <c r="F22" s="236" t="s">
        <v>232</v>
      </c>
      <c r="G22" s="236" t="s">
        <v>232</v>
      </c>
      <c r="H22" s="236" t="s">
        <v>278</v>
      </c>
      <c r="I22" s="236"/>
      <c r="J22" s="236" t="s">
        <v>276</v>
      </c>
      <c r="K22" s="236"/>
      <c r="L22" s="236"/>
      <c r="M22" s="236"/>
    </row>
    <row r="23" spans="1:13" ht="60">
      <c r="A23" s="239"/>
      <c r="B23" s="242"/>
      <c r="C23" s="239"/>
      <c r="D23" s="239"/>
      <c r="E23" s="235" t="s">
        <v>279</v>
      </c>
      <c r="F23" s="236" t="s">
        <v>232</v>
      </c>
      <c r="G23" s="236" t="s">
        <v>232</v>
      </c>
      <c r="H23" s="236" t="s">
        <v>278</v>
      </c>
      <c r="I23" s="236"/>
      <c r="J23" s="236" t="s">
        <v>276</v>
      </c>
      <c r="K23" s="236"/>
      <c r="L23" s="236"/>
      <c r="M23" s="236"/>
    </row>
    <row r="24" spans="1:13" ht="60">
      <c r="A24" s="239"/>
      <c r="B24" s="242"/>
      <c r="C24" s="239"/>
      <c r="D24" s="239"/>
      <c r="E24" s="235" t="s">
        <v>280</v>
      </c>
      <c r="F24" s="236" t="s">
        <v>232</v>
      </c>
      <c r="G24" s="236" t="s">
        <v>232</v>
      </c>
      <c r="H24" s="236" t="s">
        <v>278</v>
      </c>
      <c r="I24" s="236"/>
      <c r="J24" s="236" t="s">
        <v>276</v>
      </c>
      <c r="K24" s="236"/>
      <c r="L24" s="236"/>
      <c r="M24" s="236"/>
    </row>
    <row r="25" spans="1:13" ht="48">
      <c r="A25" s="239"/>
      <c r="B25" s="242"/>
      <c r="C25" s="240"/>
      <c r="D25" s="240"/>
      <c r="E25" s="237" t="s">
        <v>281</v>
      </c>
      <c r="F25" s="236" t="s">
        <v>232</v>
      </c>
      <c r="G25" s="236" t="s">
        <v>232</v>
      </c>
      <c r="H25" s="236" t="s">
        <v>278</v>
      </c>
      <c r="I25" s="236"/>
      <c r="J25" s="236" t="s">
        <v>276</v>
      </c>
      <c r="K25" s="236"/>
      <c r="L25" s="236"/>
      <c r="M25" s="236"/>
    </row>
    <row r="26" spans="1:13" ht="36">
      <c r="A26" s="239"/>
      <c r="B26" s="242"/>
      <c r="C26" s="238" t="s">
        <v>141</v>
      </c>
      <c r="D26" s="238" t="s">
        <v>142</v>
      </c>
      <c r="E26" s="237" t="s">
        <v>282</v>
      </c>
      <c r="F26" s="236" t="s">
        <v>93</v>
      </c>
      <c r="G26" s="236" t="s">
        <v>232</v>
      </c>
      <c r="H26" s="236" t="s">
        <v>278</v>
      </c>
      <c r="I26" s="236"/>
      <c r="J26" s="236" t="s">
        <v>224</v>
      </c>
      <c r="K26" s="236" t="s">
        <v>225</v>
      </c>
      <c r="L26" s="236" t="s">
        <v>93</v>
      </c>
      <c r="M26" s="236"/>
    </row>
    <row r="27" spans="1:13" ht="60">
      <c r="A27" s="239"/>
      <c r="B27" s="242"/>
      <c r="C27" s="239"/>
      <c r="D27" s="239"/>
      <c r="E27" s="237" t="s">
        <v>283</v>
      </c>
      <c r="F27" s="236" t="s">
        <v>93</v>
      </c>
      <c r="G27" s="236" t="s">
        <v>232</v>
      </c>
      <c r="H27" s="236" t="s">
        <v>278</v>
      </c>
      <c r="I27" s="236"/>
      <c r="J27" s="236" t="s">
        <v>224</v>
      </c>
      <c r="K27" s="236" t="s">
        <v>284</v>
      </c>
      <c r="L27" s="236" t="s">
        <v>93</v>
      </c>
      <c r="M27" s="236"/>
    </row>
    <row r="28" spans="1:13" ht="120">
      <c r="A28" s="239"/>
      <c r="B28" s="242"/>
      <c r="C28" s="239"/>
      <c r="D28" s="239"/>
      <c r="E28" s="237" t="s">
        <v>285</v>
      </c>
      <c r="F28" s="236" t="s">
        <v>215</v>
      </c>
      <c r="G28" s="236" t="s">
        <v>215</v>
      </c>
      <c r="H28" s="236" t="s">
        <v>286</v>
      </c>
      <c r="I28" s="236"/>
      <c r="J28" s="236"/>
      <c r="K28" s="236"/>
      <c r="L28" s="236"/>
      <c r="M28" s="236"/>
    </row>
    <row r="29" spans="1:13" ht="156">
      <c r="A29" s="239"/>
      <c r="B29" s="242"/>
      <c r="C29" s="240"/>
      <c r="D29" s="240"/>
      <c r="E29" s="237" t="s">
        <v>287</v>
      </c>
      <c r="F29" s="236" t="s">
        <v>215</v>
      </c>
      <c r="G29" s="236" t="s">
        <v>215</v>
      </c>
      <c r="H29" s="236"/>
      <c r="I29" s="236"/>
      <c r="J29" s="236"/>
      <c r="K29" s="236"/>
      <c r="L29" s="236"/>
      <c r="M29" s="236"/>
    </row>
    <row r="30" spans="1:13" ht="48">
      <c r="A30" s="239"/>
      <c r="B30" s="242"/>
      <c r="C30" s="238" t="s">
        <v>147</v>
      </c>
      <c r="D30" s="238" t="s">
        <v>148</v>
      </c>
      <c r="E30" s="237" t="s">
        <v>288</v>
      </c>
      <c r="F30" s="236" t="s">
        <v>215</v>
      </c>
      <c r="G30" s="236" t="s">
        <v>215</v>
      </c>
      <c r="H30" s="236"/>
      <c r="I30" s="236"/>
      <c r="J30" s="236"/>
      <c r="K30" s="236"/>
      <c r="L30" s="236"/>
      <c r="M30" s="236"/>
    </row>
    <row r="31" spans="1:13" ht="48">
      <c r="A31" s="239"/>
      <c r="B31" s="242"/>
      <c r="C31" s="239"/>
      <c r="D31" s="239"/>
      <c r="E31" s="237" t="s">
        <v>289</v>
      </c>
      <c r="F31" s="236" t="s">
        <v>215</v>
      </c>
      <c r="G31" s="236" t="s">
        <v>215</v>
      </c>
      <c r="H31" s="236"/>
      <c r="I31" s="236"/>
      <c r="J31" s="236"/>
      <c r="K31" s="236"/>
      <c r="L31" s="236"/>
      <c r="M31" s="236"/>
    </row>
    <row r="32" spans="1:13" ht="48">
      <c r="A32" s="239"/>
      <c r="B32" s="242"/>
      <c r="C32" s="240"/>
      <c r="D32" s="240"/>
      <c r="E32" s="237" t="s">
        <v>290</v>
      </c>
      <c r="F32" s="236" t="s">
        <v>215</v>
      </c>
      <c r="G32" s="236" t="s">
        <v>215</v>
      </c>
      <c r="H32" s="236"/>
      <c r="I32" s="236"/>
      <c r="J32" s="236"/>
      <c r="K32" s="236"/>
      <c r="L32" s="236"/>
      <c r="M32" s="236"/>
    </row>
    <row r="33" spans="1:13" ht="84">
      <c r="A33" s="239"/>
      <c r="B33" s="242"/>
      <c r="C33" s="238" t="s">
        <v>152</v>
      </c>
      <c r="D33" s="238" t="s">
        <v>153</v>
      </c>
      <c r="E33" s="237" t="s">
        <v>291</v>
      </c>
      <c r="F33" s="236" t="s">
        <v>93</v>
      </c>
      <c r="G33" s="236" t="s">
        <v>93</v>
      </c>
      <c r="H33" s="236"/>
      <c r="I33" s="236"/>
      <c r="J33" s="236" t="s">
        <v>237</v>
      </c>
      <c r="K33" s="236" t="s">
        <v>230</v>
      </c>
      <c r="L33" s="236" t="s">
        <v>93</v>
      </c>
      <c r="M33" s="236"/>
    </row>
    <row r="34" spans="1:13" ht="24">
      <c r="A34" s="239"/>
      <c r="B34" s="242"/>
      <c r="C34" s="239"/>
      <c r="D34" s="239"/>
      <c r="E34" s="237" t="s">
        <v>238</v>
      </c>
      <c r="F34" s="236" t="s">
        <v>93</v>
      </c>
      <c r="G34" s="236" t="s">
        <v>93</v>
      </c>
      <c r="H34" s="236" t="s">
        <v>239</v>
      </c>
      <c r="I34" s="236"/>
      <c r="J34" s="236"/>
      <c r="K34" s="236"/>
      <c r="L34" s="236"/>
      <c r="M34" s="236"/>
    </row>
    <row r="35" spans="1:13" ht="48">
      <c r="A35" s="239"/>
      <c r="B35" s="242"/>
      <c r="C35" s="239"/>
      <c r="D35" s="239"/>
      <c r="E35" s="237" t="s">
        <v>240</v>
      </c>
      <c r="F35" s="236" t="s">
        <v>215</v>
      </c>
      <c r="G35" s="236" t="s">
        <v>215</v>
      </c>
      <c r="H35" s="236" t="s">
        <v>292</v>
      </c>
      <c r="I35" s="236"/>
      <c r="J35" s="236" t="s">
        <v>241</v>
      </c>
      <c r="K35" s="236" t="s">
        <v>230</v>
      </c>
      <c r="L35" s="236" t="s">
        <v>93</v>
      </c>
      <c r="M35" s="236"/>
    </row>
    <row r="36" spans="1:13" ht="72">
      <c r="A36" s="239"/>
      <c r="B36" s="242"/>
      <c r="C36" s="239"/>
      <c r="D36" s="239"/>
      <c r="E36" s="237" t="s">
        <v>242</v>
      </c>
      <c r="F36" s="236" t="s">
        <v>93</v>
      </c>
      <c r="G36" s="236" t="s">
        <v>93</v>
      </c>
      <c r="H36" s="236"/>
      <c r="I36" s="236"/>
      <c r="J36" s="236" t="s">
        <v>243</v>
      </c>
      <c r="K36" s="236" t="s">
        <v>230</v>
      </c>
      <c r="L36" s="236" t="s">
        <v>93</v>
      </c>
      <c r="M36" s="236"/>
    </row>
    <row r="37" spans="1:13" ht="48">
      <c r="A37" s="239"/>
      <c r="B37" s="242"/>
      <c r="C37" s="239"/>
      <c r="D37" s="239"/>
      <c r="E37" s="237" t="s">
        <v>244</v>
      </c>
      <c r="F37" s="236" t="s">
        <v>93</v>
      </c>
      <c r="G37" s="236" t="s">
        <v>93</v>
      </c>
      <c r="H37" s="236"/>
      <c r="I37" s="236"/>
      <c r="J37" s="236" t="s">
        <v>245</v>
      </c>
      <c r="K37" s="236" t="s">
        <v>230</v>
      </c>
      <c r="L37" s="236" t="s">
        <v>93</v>
      </c>
      <c r="M37" s="236"/>
    </row>
    <row r="38" spans="1:13" ht="60">
      <c r="A38" s="239"/>
      <c r="B38" s="242"/>
      <c r="C38" s="239"/>
      <c r="D38" s="239"/>
      <c r="E38" s="237" t="s">
        <v>293</v>
      </c>
      <c r="F38" s="236" t="s">
        <v>93</v>
      </c>
      <c r="G38" s="236" t="s">
        <v>93</v>
      </c>
      <c r="H38" s="236" t="s">
        <v>246</v>
      </c>
      <c r="I38" s="236"/>
      <c r="J38" s="236" t="s">
        <v>247</v>
      </c>
      <c r="K38" s="236" t="s">
        <v>221</v>
      </c>
      <c r="L38" s="236" t="s">
        <v>93</v>
      </c>
      <c r="M38" s="236"/>
    </row>
    <row r="39" spans="1:13" ht="60">
      <c r="A39" s="239"/>
      <c r="B39" s="242"/>
      <c r="C39" s="239"/>
      <c r="D39" s="239"/>
      <c r="E39" s="237" t="s">
        <v>248</v>
      </c>
      <c r="F39" s="236" t="s">
        <v>93</v>
      </c>
      <c r="G39" s="236" t="s">
        <v>93</v>
      </c>
      <c r="H39" s="236" t="s">
        <v>246</v>
      </c>
      <c r="I39" s="236"/>
      <c r="J39" s="236" t="s">
        <v>247</v>
      </c>
      <c r="K39" s="236" t="s">
        <v>221</v>
      </c>
      <c r="L39" s="236" t="s">
        <v>93</v>
      </c>
      <c r="M39" s="236"/>
    </row>
    <row r="40" spans="1:13" ht="60">
      <c r="A40" s="239"/>
      <c r="B40" s="242"/>
      <c r="C40" s="239"/>
      <c r="D40" s="239"/>
      <c r="E40" s="237" t="s">
        <v>249</v>
      </c>
      <c r="F40" s="236" t="s">
        <v>93</v>
      </c>
      <c r="G40" s="236" t="s">
        <v>93</v>
      </c>
      <c r="H40" s="236" t="s">
        <v>246</v>
      </c>
      <c r="I40" s="236"/>
      <c r="J40" s="236" t="s">
        <v>247</v>
      </c>
      <c r="K40" s="236" t="s">
        <v>221</v>
      </c>
      <c r="L40" s="236" t="s">
        <v>93</v>
      </c>
      <c r="M40" s="236"/>
    </row>
    <row r="41" spans="1:13" ht="60">
      <c r="A41" s="239"/>
      <c r="B41" s="242"/>
      <c r="C41" s="240"/>
      <c r="D41" s="240"/>
      <c r="E41" s="237" t="s">
        <v>250</v>
      </c>
      <c r="F41" s="236" t="s">
        <v>93</v>
      </c>
      <c r="G41" s="236" t="s">
        <v>93</v>
      </c>
      <c r="H41" s="236" t="s">
        <v>246</v>
      </c>
      <c r="I41" s="236"/>
      <c r="J41" s="236" t="s">
        <v>247</v>
      </c>
      <c r="K41" s="236" t="s">
        <v>221</v>
      </c>
      <c r="L41" s="236" t="s">
        <v>93</v>
      </c>
      <c r="M41" s="236"/>
    </row>
    <row r="42" spans="1:13" ht="84">
      <c r="A42" s="239"/>
      <c r="B42" s="242"/>
      <c r="C42" s="238" t="s">
        <v>163</v>
      </c>
      <c r="D42" s="238" t="s">
        <v>164</v>
      </c>
      <c r="E42" s="237" t="s">
        <v>294</v>
      </c>
      <c r="F42" s="236" t="s">
        <v>93</v>
      </c>
      <c r="G42" s="236" t="s">
        <v>93</v>
      </c>
      <c r="H42" s="236" t="s">
        <v>295</v>
      </c>
      <c r="I42" s="236"/>
      <c r="J42" s="236" t="s">
        <v>296</v>
      </c>
      <c r="K42" s="236"/>
      <c r="L42" s="236"/>
      <c r="M42" s="236"/>
    </row>
    <row r="43" spans="1:13" ht="84">
      <c r="A43" s="239"/>
      <c r="B43" s="242"/>
      <c r="C43" s="239"/>
      <c r="D43" s="239"/>
      <c r="E43" s="237" t="s">
        <v>297</v>
      </c>
      <c r="F43" s="236" t="s">
        <v>215</v>
      </c>
      <c r="G43" s="236" t="s">
        <v>215</v>
      </c>
      <c r="H43" s="236"/>
      <c r="I43" s="236"/>
      <c r="J43" s="236"/>
      <c r="K43" s="236"/>
      <c r="L43" s="236"/>
      <c r="M43" s="236"/>
    </row>
    <row r="44" spans="1:13" ht="36">
      <c r="A44" s="239"/>
      <c r="B44" s="242"/>
      <c r="C44" s="239"/>
      <c r="D44" s="239"/>
      <c r="E44" s="237" t="s">
        <v>251</v>
      </c>
      <c r="F44" s="236" t="s">
        <v>215</v>
      </c>
      <c r="G44" s="236" t="s">
        <v>215</v>
      </c>
      <c r="H44" s="236" t="s">
        <v>298</v>
      </c>
      <c r="I44" s="236"/>
      <c r="J44" s="236" t="s">
        <v>299</v>
      </c>
      <c r="K44" s="236"/>
      <c r="L44" s="236"/>
      <c r="M44" s="236"/>
    </row>
    <row r="45" spans="1:13" ht="48">
      <c r="A45" s="239"/>
      <c r="B45" s="242"/>
      <c r="C45" s="239"/>
      <c r="D45" s="239"/>
      <c r="E45" s="237" t="s">
        <v>252</v>
      </c>
      <c r="F45" s="236" t="s">
        <v>93</v>
      </c>
      <c r="G45" s="236" t="s">
        <v>93</v>
      </c>
      <c r="H45" s="236" t="s">
        <v>300</v>
      </c>
      <c r="I45" s="236"/>
      <c r="J45" s="236" t="s">
        <v>301</v>
      </c>
      <c r="K45" s="236"/>
      <c r="L45" s="236"/>
      <c r="M45" s="236"/>
    </row>
    <row r="46" spans="1:13" ht="36">
      <c r="A46" s="239"/>
      <c r="B46" s="242"/>
      <c r="C46" s="239"/>
      <c r="D46" s="239"/>
      <c r="E46" s="237" t="s">
        <v>253</v>
      </c>
      <c r="F46" s="236" t="s">
        <v>93</v>
      </c>
      <c r="G46" s="236" t="s">
        <v>93</v>
      </c>
      <c r="H46" s="236" t="s">
        <v>254</v>
      </c>
      <c r="I46" s="236"/>
      <c r="J46" s="236"/>
      <c r="K46" s="236"/>
      <c r="L46" s="236" t="s">
        <v>93</v>
      </c>
      <c r="M46" s="236"/>
    </row>
    <row r="47" spans="1:13" ht="36">
      <c r="A47" s="239"/>
      <c r="B47" s="242"/>
      <c r="C47" s="239"/>
      <c r="D47" s="239"/>
      <c r="E47" s="237" t="s">
        <v>302</v>
      </c>
      <c r="F47" s="236" t="s">
        <v>93</v>
      </c>
      <c r="G47" s="236" t="s">
        <v>93</v>
      </c>
      <c r="H47" s="236" t="s">
        <v>255</v>
      </c>
      <c r="I47" s="236"/>
      <c r="J47" s="236"/>
      <c r="K47" s="236"/>
      <c r="L47" s="236" t="s">
        <v>93</v>
      </c>
      <c r="M47" s="236"/>
    </row>
    <row r="48" spans="1:13" ht="48">
      <c r="A48" s="239"/>
      <c r="B48" s="242"/>
      <c r="C48" s="239"/>
      <c r="D48" s="239"/>
      <c r="E48" s="237" t="s">
        <v>303</v>
      </c>
      <c r="F48" s="236" t="s">
        <v>93</v>
      </c>
      <c r="G48" s="236" t="s">
        <v>93</v>
      </c>
      <c r="H48" s="236" t="s">
        <v>246</v>
      </c>
      <c r="I48" s="236"/>
      <c r="J48" s="236"/>
      <c r="K48" s="236"/>
      <c r="L48" s="236" t="s">
        <v>93</v>
      </c>
      <c r="M48" s="236"/>
    </row>
    <row r="49" spans="1:13" ht="36">
      <c r="A49" s="239"/>
      <c r="B49" s="242"/>
      <c r="C49" s="239"/>
      <c r="D49" s="239"/>
      <c r="E49" s="237" t="s">
        <v>304</v>
      </c>
      <c r="F49" s="236" t="s">
        <v>93</v>
      </c>
      <c r="G49" s="236" t="s">
        <v>93</v>
      </c>
      <c r="H49" s="236" t="s">
        <v>256</v>
      </c>
      <c r="I49" s="236"/>
      <c r="J49" s="236"/>
      <c r="K49" s="236"/>
      <c r="L49" s="236" t="s">
        <v>93</v>
      </c>
      <c r="M49" s="236"/>
    </row>
    <row r="50" spans="1:13" ht="36">
      <c r="A50" s="239"/>
      <c r="B50" s="242"/>
      <c r="C50" s="239"/>
      <c r="D50" s="239"/>
      <c r="E50" s="237" t="s">
        <v>257</v>
      </c>
      <c r="F50" s="236" t="s">
        <v>93</v>
      </c>
      <c r="G50" s="236" t="s">
        <v>93</v>
      </c>
      <c r="H50" s="236" t="s">
        <v>258</v>
      </c>
      <c r="I50" s="236"/>
      <c r="J50" s="236"/>
      <c r="K50" s="236"/>
      <c r="L50" s="236" t="s">
        <v>93</v>
      </c>
      <c r="M50" s="236"/>
    </row>
    <row r="51" spans="1:13" ht="36">
      <c r="A51" s="239"/>
      <c r="B51" s="242"/>
      <c r="C51" s="239"/>
      <c r="D51" s="239"/>
      <c r="E51" s="237" t="s">
        <v>259</v>
      </c>
      <c r="F51" s="236" t="s">
        <v>93</v>
      </c>
      <c r="G51" s="236" t="s">
        <v>93</v>
      </c>
      <c r="H51" s="236" t="s">
        <v>260</v>
      </c>
      <c r="I51" s="236"/>
      <c r="J51" s="236"/>
      <c r="K51" s="236"/>
      <c r="L51" s="236" t="s">
        <v>93</v>
      </c>
      <c r="M51" s="236"/>
    </row>
    <row r="52" spans="1:13" ht="36">
      <c r="A52" s="240"/>
      <c r="B52" s="243"/>
      <c r="C52" s="240"/>
      <c r="D52" s="240"/>
      <c r="E52" s="235" t="s">
        <v>261</v>
      </c>
      <c r="F52" s="236" t="s">
        <v>93</v>
      </c>
      <c r="G52" s="236" t="s">
        <v>93</v>
      </c>
      <c r="H52" s="236" t="s">
        <v>262</v>
      </c>
      <c r="I52" s="236"/>
      <c r="J52" s="236"/>
      <c r="K52" s="236"/>
      <c r="L52" s="236" t="s">
        <v>93</v>
      </c>
      <c r="M52" s="236"/>
    </row>
  </sheetData>
  <mergeCells count="17">
    <mergeCell ref="D26:D29"/>
    <mergeCell ref="C30:C32"/>
    <mergeCell ref="D30:D32"/>
    <mergeCell ref="C33:C41"/>
    <mergeCell ref="D33:D41"/>
    <mergeCell ref="C42:C52"/>
    <mergeCell ref="D42:D52"/>
    <mergeCell ref="A3:M3"/>
    <mergeCell ref="A4:A52"/>
    <mergeCell ref="B4:B52"/>
    <mergeCell ref="C4:C12"/>
    <mergeCell ref="D4:D12"/>
    <mergeCell ref="C13:C18"/>
    <mergeCell ref="D13:D18"/>
    <mergeCell ref="C19:C25"/>
    <mergeCell ref="D19:D25"/>
    <mergeCell ref="C26:C29"/>
  </mergeCells>
  <conditionalFormatting sqref="F2:G52">
    <cfRule type="containsText" dxfId="1" priority="1" operator="containsText" text="Y">
      <formula>NOT(ISERROR(SEARCH("Y",F2)))</formula>
    </cfRule>
  </conditionalFormatting>
  <conditionalFormatting sqref="F2:K52">
    <cfRule type="cellIs" dxfId="0" priority="2" operator="equal">
      <formula>"Y"</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showGridLines="0" workbookViewId="0">
      <selection activeCell="L3" sqref="L3"/>
    </sheetView>
  </sheetViews>
  <sheetFormatPr baseColWidth="10" defaultColWidth="6" defaultRowHeight="14.25" customHeight="1"/>
  <cols>
    <col min="1" max="1" width="10.5" style="1" customWidth="1"/>
    <col min="2" max="2" width="11" style="1" customWidth="1"/>
    <col min="3" max="3" width="10.6640625" style="1" customWidth="1"/>
    <col min="4" max="4" width="11.5" style="1" customWidth="1"/>
    <col min="5" max="5" width="10.6640625" style="1" customWidth="1"/>
    <col min="6" max="6" width="16.33203125" style="1" customWidth="1"/>
    <col min="7" max="7" width="13.83203125" style="1" customWidth="1"/>
    <col min="8" max="8" width="6" style="1" customWidth="1"/>
    <col min="9" max="16384" width="6" style="1"/>
  </cols>
  <sheetData>
    <row r="1" spans="1:7" ht="33.75" customHeight="1">
      <c r="A1" s="232" t="s">
        <v>196</v>
      </c>
      <c r="B1" s="233"/>
      <c r="C1" s="233"/>
      <c r="D1" s="233"/>
      <c r="E1" s="233"/>
      <c r="F1" s="233"/>
      <c r="G1" s="233"/>
    </row>
    <row r="2" spans="1:7" ht="14.25" customHeight="1">
      <c r="A2" s="233"/>
      <c r="B2" s="233"/>
      <c r="C2" s="233"/>
      <c r="D2" s="233"/>
      <c r="E2" s="233"/>
      <c r="F2" s="233"/>
      <c r="G2" s="233"/>
    </row>
    <row r="3" spans="1:7" ht="35" customHeight="1">
      <c r="A3" s="2" t="s">
        <v>11</v>
      </c>
      <c r="B3" s="2" t="s">
        <v>12</v>
      </c>
      <c r="C3" s="2" t="s">
        <v>13</v>
      </c>
      <c r="D3" s="2" t="s">
        <v>14</v>
      </c>
      <c r="E3" s="14" t="s">
        <v>15</v>
      </c>
      <c r="F3" s="14" t="s">
        <v>16</v>
      </c>
      <c r="G3" s="15" t="s">
        <v>17</v>
      </c>
    </row>
    <row r="4" spans="1:7" ht="26.75" customHeight="1">
      <c r="A4" s="3" t="s">
        <v>18</v>
      </c>
      <c r="B4" s="3" t="s">
        <v>19</v>
      </c>
      <c r="C4" s="4"/>
      <c r="D4" s="3" t="s">
        <v>20</v>
      </c>
      <c r="E4" s="9"/>
      <c r="F4" s="9"/>
      <c r="G4" s="16" t="s">
        <v>21</v>
      </c>
    </row>
    <row r="5" spans="1:7" ht="13.5" customHeight="1">
      <c r="A5" s="3" t="s">
        <v>22</v>
      </c>
      <c r="B5" s="3" t="s">
        <v>23</v>
      </c>
      <c r="C5" s="4"/>
      <c r="D5" s="3" t="s">
        <v>6</v>
      </c>
      <c r="E5" s="17"/>
      <c r="F5" s="18" t="s">
        <v>8</v>
      </c>
      <c r="G5" s="16" t="s">
        <v>24</v>
      </c>
    </row>
    <row r="6" spans="1:7" ht="14.25" customHeight="1">
      <c r="A6" s="5"/>
      <c r="B6" s="6"/>
      <c r="C6" s="7"/>
      <c r="D6" s="8"/>
      <c r="E6" s="19"/>
      <c r="F6" s="19"/>
      <c r="G6" s="19"/>
    </row>
    <row r="7" spans="1:7" ht="14.25" customHeight="1">
      <c r="A7" s="5"/>
      <c r="B7" s="6"/>
      <c r="C7" s="9"/>
      <c r="D7" s="8"/>
      <c r="E7" s="19"/>
      <c r="F7" s="19"/>
      <c r="G7" s="19"/>
    </row>
    <row r="8" spans="1:7" ht="14.25" customHeight="1">
      <c r="A8" s="5"/>
      <c r="B8" s="6"/>
      <c r="C8" s="9"/>
      <c r="D8" s="8"/>
      <c r="E8" s="19"/>
      <c r="F8" s="19"/>
      <c r="G8" s="19"/>
    </row>
    <row r="9" spans="1:7" ht="14.25" customHeight="1">
      <c r="A9" s="5"/>
      <c r="B9" s="6"/>
      <c r="C9" s="9"/>
      <c r="D9" s="8"/>
      <c r="E9" s="19"/>
      <c r="F9" s="19"/>
      <c r="G9" s="19"/>
    </row>
    <row r="10" spans="1:7" ht="14.25" customHeight="1">
      <c r="A10" s="5"/>
      <c r="B10" s="6"/>
      <c r="C10" s="9"/>
      <c r="D10" s="8"/>
      <c r="E10" s="19"/>
      <c r="F10" s="19"/>
      <c r="G10" s="19"/>
    </row>
    <row r="11" spans="1:7" ht="14.25" customHeight="1">
      <c r="A11" s="5"/>
      <c r="B11" s="6"/>
      <c r="C11" s="9"/>
      <c r="D11" s="8"/>
      <c r="E11" s="19"/>
      <c r="F11" s="19"/>
      <c r="G11" s="19"/>
    </row>
    <row r="12" spans="1:7" ht="14.25" customHeight="1">
      <c r="A12" s="5"/>
      <c r="B12" s="6"/>
      <c r="C12" s="9"/>
      <c r="D12" s="8"/>
      <c r="E12" s="19"/>
      <c r="F12" s="19"/>
      <c r="G12" s="19"/>
    </row>
    <row r="13" spans="1:7" ht="14.25" customHeight="1">
      <c r="A13" s="5"/>
      <c r="B13" s="6"/>
      <c r="C13" s="9"/>
      <c r="D13" s="8"/>
      <c r="E13" s="19"/>
      <c r="F13" s="19"/>
      <c r="G13" s="19"/>
    </row>
    <row r="14" spans="1:7" ht="14.25" customHeight="1">
      <c r="A14" s="5"/>
      <c r="B14" s="6"/>
      <c r="C14" s="9"/>
      <c r="D14" s="8"/>
      <c r="E14" s="19"/>
      <c r="F14" s="19"/>
      <c r="G14" s="19"/>
    </row>
    <row r="15" spans="1:7" ht="14.25" customHeight="1">
      <c r="A15" s="5"/>
      <c r="B15" s="6"/>
      <c r="C15" s="9"/>
      <c r="D15" s="8"/>
      <c r="E15" s="19"/>
      <c r="F15" s="19"/>
      <c r="G15" s="19"/>
    </row>
    <row r="16" spans="1:7" ht="14.25" customHeight="1">
      <c r="A16" s="5"/>
      <c r="B16" s="6"/>
      <c r="C16" s="9"/>
      <c r="D16" s="8"/>
      <c r="E16" s="19"/>
      <c r="F16" s="19"/>
      <c r="G16" s="19"/>
    </row>
    <row r="17" spans="1:7" ht="14.25" customHeight="1">
      <c r="A17" s="5"/>
      <c r="B17" s="6"/>
      <c r="C17" s="9"/>
      <c r="D17" s="8"/>
      <c r="E17" s="19"/>
      <c r="F17" s="19"/>
      <c r="G17" s="19"/>
    </row>
    <row r="18" spans="1:7" ht="14.25" customHeight="1">
      <c r="A18" s="5"/>
      <c r="B18" s="6"/>
      <c r="C18" s="9"/>
      <c r="D18" s="8"/>
      <c r="E18" s="19"/>
      <c r="F18" s="19"/>
      <c r="G18" s="19"/>
    </row>
    <row r="19" spans="1:7" ht="14.25" customHeight="1">
      <c r="A19" s="5"/>
      <c r="B19" s="6"/>
      <c r="C19" s="9"/>
      <c r="D19" s="8"/>
      <c r="E19" s="19"/>
      <c r="F19" s="19"/>
      <c r="G19" s="19"/>
    </row>
    <row r="20" spans="1:7" ht="14.25" customHeight="1">
      <c r="A20" s="5"/>
      <c r="B20" s="6"/>
      <c r="C20" s="9"/>
      <c r="D20" s="8"/>
      <c r="E20" s="19"/>
      <c r="F20" s="19"/>
      <c r="G20" s="19"/>
    </row>
    <row r="21" spans="1:7" ht="14.25" customHeight="1">
      <c r="A21" s="5"/>
      <c r="B21" s="6"/>
      <c r="C21" s="9"/>
      <c r="D21" s="8"/>
      <c r="E21" s="19"/>
      <c r="F21" s="19"/>
      <c r="G21" s="19"/>
    </row>
    <row r="22" spans="1:7" ht="14.25" customHeight="1">
      <c r="A22" s="5"/>
      <c r="B22" s="6"/>
      <c r="C22" s="9"/>
      <c r="D22" s="8"/>
      <c r="E22" s="19"/>
      <c r="F22" s="19"/>
      <c r="G22" s="19"/>
    </row>
    <row r="23" spans="1:7" ht="14.25" customHeight="1">
      <c r="A23" s="5"/>
      <c r="B23" s="6"/>
      <c r="C23" s="9"/>
      <c r="D23" s="8"/>
      <c r="E23" s="19"/>
      <c r="F23" s="19"/>
      <c r="G23" s="19"/>
    </row>
    <row r="24" spans="1:7" ht="14.25" customHeight="1">
      <c r="A24" s="5"/>
      <c r="B24" s="6"/>
      <c r="C24" s="9"/>
      <c r="D24" s="8"/>
      <c r="E24" s="19"/>
      <c r="F24" s="19"/>
      <c r="G24" s="19"/>
    </row>
    <row r="25" spans="1:7" ht="14.25" customHeight="1">
      <c r="A25" s="5"/>
      <c r="B25" s="6"/>
      <c r="C25" s="9"/>
      <c r="D25" s="8"/>
      <c r="E25" s="19"/>
      <c r="F25" s="19"/>
      <c r="G25" s="19"/>
    </row>
    <row r="26" spans="1:7" ht="14.25" customHeight="1">
      <c r="A26" s="10"/>
      <c r="B26" s="11"/>
      <c r="C26" s="12"/>
      <c r="D26" s="13"/>
      <c r="E26" s="20"/>
      <c r="F26" s="20"/>
      <c r="G26" s="21"/>
    </row>
    <row r="27" spans="1:7" ht="14.25" customHeight="1">
      <c r="A27" s="195" t="s">
        <v>25</v>
      </c>
      <c r="B27" s="196"/>
      <c r="C27" s="196"/>
      <c r="D27" s="196"/>
      <c r="E27" s="196"/>
      <c r="F27" s="22"/>
      <c r="G27" s="23"/>
    </row>
  </sheetData>
  <mergeCells count="2">
    <mergeCell ref="A27:E27"/>
    <mergeCell ref="A1:G2"/>
  </mergeCells>
  <pageMargins left="0.70833299999999999" right="0.70833299999999999" top="0.74791700000000005" bottom="0.74861100000000003" header="0.51181100000000002" footer="0.315278"/>
  <pageSetup orientation="portrait"/>
  <headerFooter>
    <oddFooter>&amp;L&amp;"SimSun,Regular"&amp;11&amp;K000000状态：批准
Status:Approval&amp;R&amp;"SimSun,Regular"&amp;11&amp;K000000信息等级：C(内部文件）
Information Level:C(Internal)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封面</vt:lpstr>
      <vt:lpstr>变更履历</vt:lpstr>
      <vt:lpstr>General</vt:lpstr>
      <vt:lpstr>SW architecture</vt:lpstr>
      <vt:lpstr>Combination matrix</vt:lpstr>
      <vt:lpstr>Top Event</vt:lpstr>
      <vt:lpstr>SW DFA</vt:lpstr>
      <vt:lpstr>SM list</vt:lpstr>
      <vt:lpstr>example</vt:lpstr>
      <vt:lpstr>模板变更履历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Guo Shun</cp:lastModifiedBy>
  <dcterms:created xsi:type="dcterms:W3CDTF">2024-07-04T12:27:00Z</dcterms:created>
  <dcterms:modified xsi:type="dcterms:W3CDTF">2026-03-25T06:02:10Z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44EA9590357647F8E4438566E33E2BB4</vt:lpwstr>
  </property>
  <property fmtid="{D5CDD505-2E9C-101B-9397-08002B2CF9AE}" pid="3" name="KSOProductBuildVer">
    <vt:lpwstr>1033-7.3.0.8966</vt:lpwstr>
  </property>
</Properties>
</file>