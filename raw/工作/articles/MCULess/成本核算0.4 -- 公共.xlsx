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3个ZCU收益" sheetId="3" r:id="rId1"/>
    <sheet name="三级网络" sheetId="4" r:id="rId2"/>
    <sheet name="48V音频收益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7" l="1"/>
  <c r="G33" i="7"/>
  <c r="G24" i="7"/>
  <c r="F19" i="7"/>
  <c r="F34" i="7" s="1"/>
  <c r="E19" i="7"/>
  <c r="F33" i="7"/>
  <c r="E33" i="7"/>
  <c r="F11" i="7"/>
  <c r="E11" i="7"/>
  <c r="G19" i="7" l="1"/>
  <c r="E34" i="7"/>
  <c r="G35" i="7" s="1"/>
  <c r="G11" i="7"/>
  <c r="F22" i="7" l="1"/>
  <c r="H7" i="4" l="1"/>
  <c r="J2" i="3"/>
  <c r="D25" i="3" l="1"/>
  <c r="D11" i="3"/>
  <c r="F14" i="4"/>
  <c r="H13" i="4"/>
  <c r="H14" i="4" s="1"/>
  <c r="F11" i="4"/>
  <c r="H10" i="4"/>
  <c r="H11" i="4" s="1"/>
  <c r="H12" i="4" s="1"/>
  <c r="F8" i="4"/>
  <c r="H8" i="4"/>
  <c r="H24" i="3"/>
  <c r="H23" i="3"/>
  <c r="F22" i="3"/>
  <c r="F26" i="3" s="1"/>
  <c r="H17" i="3"/>
  <c r="H19" i="3" s="1"/>
  <c r="F15" i="3"/>
  <c r="F19" i="3" s="1"/>
  <c r="H10" i="3"/>
  <c r="H9" i="3"/>
  <c r="H12" i="3" s="1"/>
  <c r="F8" i="3"/>
  <c r="F12" i="3" s="1"/>
  <c r="D18" i="3" l="1"/>
  <c r="H20" i="3"/>
  <c r="H13" i="3"/>
  <c r="H15" i="4"/>
  <c r="H9" i="4"/>
  <c r="H16" i="4" s="1"/>
  <c r="H26" i="3" l="1"/>
  <c r="H27" i="3" l="1"/>
  <c r="H28" i="3" l="1"/>
</calcChain>
</file>

<file path=xl/sharedStrings.xml><?xml version="1.0" encoding="utf-8"?>
<sst xmlns="http://schemas.openxmlformats.org/spreadsheetml/2006/main" count="205" uniqueCount="138">
  <si>
    <t>当前方案</t>
    <phoneticPr fontId="1" type="noConversion"/>
  </si>
  <si>
    <t>GPAN方案</t>
    <phoneticPr fontId="1" type="noConversion"/>
  </si>
  <si>
    <t>价格</t>
    <phoneticPr fontId="1" type="noConversion"/>
  </si>
  <si>
    <t>价格</t>
    <phoneticPr fontId="1" type="noConversion"/>
  </si>
  <si>
    <t>MCU</t>
    <phoneticPr fontId="1" type="noConversion"/>
  </si>
  <si>
    <t>备注</t>
    <phoneticPr fontId="1" type="noConversion"/>
  </si>
  <si>
    <t>TC4/其它</t>
    <phoneticPr fontId="1" type="noConversion"/>
  </si>
  <si>
    <t>相同型号，算力更强，IO更少</t>
    <phoneticPr fontId="1" type="noConversion"/>
  </si>
  <si>
    <t>无</t>
    <phoneticPr fontId="1" type="noConversion"/>
  </si>
  <si>
    <t>GPAN1</t>
    <phoneticPr fontId="1" type="noConversion"/>
  </si>
  <si>
    <t>GPAN2</t>
    <phoneticPr fontId="1" type="noConversion"/>
  </si>
  <si>
    <t>个数</t>
    <phoneticPr fontId="1" type="noConversion"/>
  </si>
  <si>
    <t>BGA144</t>
    <phoneticPr fontId="1" type="noConversion"/>
  </si>
  <si>
    <t>BGA196</t>
    <phoneticPr fontId="1" type="noConversion"/>
  </si>
  <si>
    <t>左前ZCU</t>
    <phoneticPr fontId="1" type="noConversion"/>
  </si>
  <si>
    <t>合计</t>
    <phoneticPr fontId="1" type="noConversion"/>
  </si>
  <si>
    <t>节约</t>
    <phoneticPr fontId="1" type="noConversion"/>
  </si>
  <si>
    <t>比对项</t>
    <phoneticPr fontId="1" type="noConversion"/>
  </si>
  <si>
    <t>右前ZCU</t>
    <phoneticPr fontId="1" type="noConversion"/>
  </si>
  <si>
    <t>仅做IO扩展</t>
    <phoneticPr fontId="1" type="noConversion"/>
  </si>
  <si>
    <t>二级网络总共节约：</t>
    <phoneticPr fontId="1" type="noConversion"/>
  </si>
  <si>
    <t>二级网络</t>
    <phoneticPr fontId="1" type="noConversion"/>
  </si>
  <si>
    <t>三级网络</t>
    <phoneticPr fontId="1" type="noConversion"/>
  </si>
  <si>
    <t>门模块</t>
    <phoneticPr fontId="1" type="noConversion"/>
  </si>
  <si>
    <t>S32K144</t>
    <phoneticPr fontId="1" type="noConversion"/>
  </si>
  <si>
    <t>xxx</t>
    <phoneticPr fontId="1" type="noConversion"/>
  </si>
  <si>
    <t>灯模块</t>
    <phoneticPr fontId="1" type="noConversion"/>
  </si>
  <si>
    <t>基于CAN-FD</t>
    <phoneticPr fontId="1" type="noConversion"/>
  </si>
  <si>
    <t>其它ECU</t>
    <phoneticPr fontId="1" type="noConversion"/>
  </si>
  <si>
    <t>三级网络总共节约：</t>
    <phoneticPr fontId="1" type="noConversion"/>
  </si>
  <si>
    <t>基于二级网络是GPAN MCULess方案</t>
    <phoneticPr fontId="1" type="noConversion"/>
  </si>
  <si>
    <t>省掉8个+8个</t>
    <phoneticPr fontId="1" type="noConversion"/>
  </si>
  <si>
    <t>GPAN网络+做IO扩展</t>
    <phoneticPr fontId="1" type="noConversion"/>
  </si>
  <si>
    <t>共有18个4851</t>
    <phoneticPr fontId="1" type="noConversion"/>
  </si>
  <si>
    <t>GPAN1(左)</t>
    <phoneticPr fontId="1" type="noConversion"/>
  </si>
  <si>
    <t>GPAN2(右)</t>
    <phoneticPr fontId="1" type="noConversion"/>
  </si>
  <si>
    <t>QFN64</t>
    <phoneticPr fontId="1" type="noConversion"/>
  </si>
  <si>
    <t>基于100Base-T1</t>
    <phoneticPr fontId="1" type="noConversion"/>
  </si>
  <si>
    <t>省掉18个</t>
    <phoneticPr fontId="1" type="noConversion"/>
  </si>
  <si>
    <t>BGA144(无)</t>
    <phoneticPr fontId="1" type="noConversion"/>
  </si>
  <si>
    <t>有11个模拟扩展IO</t>
    <phoneticPr fontId="1" type="noConversion"/>
  </si>
  <si>
    <t>省掉8个</t>
    <phoneticPr fontId="1" type="noConversion"/>
  </si>
  <si>
    <t>变量</t>
    <phoneticPr fontId="1" type="noConversion"/>
  </si>
  <si>
    <t>新的MCU价格</t>
    <phoneticPr fontId="1" type="noConversion"/>
  </si>
  <si>
    <t>GPAN BGA144价格</t>
    <phoneticPr fontId="1" type="noConversion"/>
  </si>
  <si>
    <t>GPAN BGA196价格</t>
    <phoneticPr fontId="1" type="noConversion"/>
  </si>
  <si>
    <t>GPAN QFN64价格(T1)</t>
    <phoneticPr fontId="1" type="noConversion"/>
  </si>
  <si>
    <t>GPAN QFN64价格(CAN)</t>
    <phoneticPr fontId="1" type="noConversion"/>
  </si>
  <si>
    <t>平方毫米</t>
    <phoneticPr fontId="1" type="noConversion"/>
  </si>
  <si>
    <t>硬件成本节约</t>
    <phoneticPr fontId="1" type="noConversion"/>
  </si>
  <si>
    <t>BGA144</t>
    <phoneticPr fontId="1" type="noConversion"/>
  </si>
  <si>
    <t>BGA144*2(接口选型待定)</t>
    <phoneticPr fontId="1" type="noConversion"/>
  </si>
  <si>
    <t>BGA144/196都可支持64个模拟IO(暂定)</t>
    <phoneticPr fontId="1" type="noConversion"/>
  </si>
  <si>
    <t>仅做IO扩展(级联或单独外设接口)</t>
    <phoneticPr fontId="1" type="noConversion"/>
  </si>
  <si>
    <t>BGA144</t>
    <phoneticPr fontId="1" type="noConversion"/>
  </si>
  <si>
    <t>现有IO扩展芯片</t>
    <phoneticPr fontId="1" type="noConversion"/>
  </si>
  <si>
    <t>现有IO扩展芯片</t>
    <phoneticPr fontId="1" type="noConversion"/>
  </si>
  <si>
    <t>现有IO扩展芯片</t>
    <phoneticPr fontId="1" type="noConversion"/>
  </si>
  <si>
    <t>后ZCU
(减少线束，减少单个ZCU面积)</t>
    <phoneticPr fontId="1" type="noConversion"/>
  </si>
  <si>
    <t>8选1芯片</t>
    <phoneticPr fontId="1" type="noConversion"/>
  </si>
  <si>
    <t>8端口IO扩展芯片价格</t>
    <phoneticPr fontId="1" type="noConversion"/>
  </si>
  <si>
    <t>IO扩展芯片硬件面积节约</t>
    <phoneticPr fontId="1" type="noConversion"/>
  </si>
  <si>
    <t>IO扩展芯片硬件面积节约</t>
    <phoneticPr fontId="1" type="noConversion"/>
  </si>
  <si>
    <t>TC389</t>
    <phoneticPr fontId="1" type="noConversion"/>
  </si>
  <si>
    <t>TC399</t>
    <phoneticPr fontId="1" type="noConversion"/>
  </si>
  <si>
    <t>8端口IO扩展芯片参考价格</t>
    <phoneticPr fontId="1" type="noConversion"/>
  </si>
  <si>
    <t>GPAN QFN64价格(CAN-FD)</t>
    <phoneticPr fontId="1" type="noConversion"/>
  </si>
  <si>
    <t>新的MCU参考价格</t>
    <phoneticPr fontId="1" type="noConversion"/>
  </si>
  <si>
    <t>GPAN BGA144参考价格</t>
    <phoneticPr fontId="1" type="noConversion"/>
  </si>
  <si>
    <t>GPAN BGA196参考价格</t>
    <phoneticPr fontId="1" type="noConversion"/>
  </si>
  <si>
    <t>GPAN QFN64价格(T1)</t>
    <phoneticPr fontId="1" type="noConversion"/>
  </si>
  <si>
    <t>单个IO扩展芯片硬件面积(如4851)</t>
    <phoneticPr fontId="1" type="noConversion"/>
  </si>
  <si>
    <t>150个IO相当于约18个IO扩展芯片</t>
    <phoneticPr fontId="1" type="noConversion"/>
  </si>
  <si>
    <t>仅做IO扩展，联合省掉15个扩展芯片</t>
    <phoneticPr fontId="1" type="noConversion"/>
  </si>
  <si>
    <t>加速度计个数</t>
    <phoneticPr fontId="1" type="noConversion"/>
  </si>
  <si>
    <t>分布式音频</t>
    <phoneticPr fontId="1" type="noConversion"/>
  </si>
  <si>
    <t>麦克风个数</t>
    <phoneticPr fontId="1" type="noConversion"/>
  </si>
  <si>
    <t>线束减重</t>
    <phoneticPr fontId="1" type="noConversion"/>
  </si>
  <si>
    <t>booster个数</t>
    <phoneticPr fontId="1" type="noConversion"/>
  </si>
  <si>
    <t>外置功放控制器成本</t>
    <phoneticPr fontId="1" type="noConversion"/>
  </si>
  <si>
    <t>散热成本</t>
    <phoneticPr fontId="1" type="noConversion"/>
  </si>
  <si>
    <t>基准</t>
    <phoneticPr fontId="1" type="noConversion"/>
  </si>
  <si>
    <t>减重能耗节约折算成本</t>
    <phoneticPr fontId="1" type="noConversion"/>
  </si>
  <si>
    <t>人工装配成本节约</t>
    <phoneticPr fontId="1" type="noConversion"/>
  </si>
  <si>
    <t>生成效率提升带来的成本节约</t>
    <phoneticPr fontId="1" type="noConversion"/>
  </si>
  <si>
    <t>功放模块CAN transceiver价格</t>
    <phoneticPr fontId="1" type="noConversion"/>
  </si>
  <si>
    <t>功放模块MCU</t>
    <phoneticPr fontId="1" type="noConversion"/>
  </si>
  <si>
    <t>transceiver芯片成本</t>
    <phoneticPr fontId="1" type="noConversion"/>
  </si>
  <si>
    <t>transceiver芯片之间线束成本</t>
    <phoneticPr fontId="1" type="noConversion"/>
  </si>
  <si>
    <t>整套线束系统（线、护套、接插件、支架）总重量</t>
    <phoneticPr fontId="1" type="noConversion"/>
  </si>
  <si>
    <t>由于音频线束复杂性，目前仅音频线束需要人工布线</t>
    <phoneticPr fontId="1" type="noConversion"/>
  </si>
  <si>
    <t>提升机械手自动布线率可提升产线效率，降低成本</t>
    <phoneticPr fontId="1" type="noConversion"/>
  </si>
  <si>
    <t>单位</t>
    <phoneticPr fontId="1" type="noConversion"/>
  </si>
  <si>
    <t>全A2B音频方案</t>
    <phoneticPr fontId="1" type="noConversion"/>
  </si>
  <si>
    <t>个</t>
    <phoneticPr fontId="1" type="noConversion"/>
  </si>
  <si>
    <t>个</t>
    <phoneticPr fontId="1" type="noConversion"/>
  </si>
  <si>
    <t>米</t>
    <phoneticPr fontId="1" type="noConversion"/>
  </si>
  <si>
    <t>喇叭线束平均价格</t>
    <phoneticPr fontId="1" type="noConversion"/>
  </si>
  <si>
    <t>元</t>
    <phoneticPr fontId="1" type="noConversion"/>
  </si>
  <si>
    <t>价格全按人民币估算</t>
    <phoneticPr fontId="1" type="noConversion"/>
  </si>
  <si>
    <t>喇叭线束重量</t>
    <phoneticPr fontId="1" type="noConversion"/>
  </si>
  <si>
    <t>元/米</t>
    <phoneticPr fontId="1" type="noConversion"/>
  </si>
  <si>
    <t>克/米</t>
    <phoneticPr fontId="1" type="noConversion"/>
  </si>
  <si>
    <t>RNC收音线束长度</t>
    <phoneticPr fontId="1" type="noConversion"/>
  </si>
  <si>
    <t>元</t>
    <phoneticPr fontId="1" type="noConversion"/>
  </si>
  <si>
    <t>元</t>
    <phoneticPr fontId="1" type="noConversion"/>
  </si>
  <si>
    <t>克</t>
    <phoneticPr fontId="1" type="noConversion"/>
  </si>
  <si>
    <t>元</t>
    <phoneticPr fontId="1" type="noConversion"/>
  </si>
  <si>
    <t>GPAN音频方案可共节约人民币:</t>
    <phoneticPr fontId="1" type="noConversion"/>
  </si>
  <si>
    <t>对比当前A2B外置集中式音频方案</t>
    <phoneticPr fontId="1" type="noConversion"/>
  </si>
  <si>
    <t>相同音质，线越长约粗，即越贵</t>
    <phoneticPr fontId="1" type="noConversion"/>
  </si>
  <si>
    <t>功放模块PMIC价格</t>
    <phoneticPr fontId="1" type="noConversion"/>
  </si>
  <si>
    <t>喇叭个数</t>
    <phoneticPr fontId="1" type="noConversion"/>
  </si>
  <si>
    <t>头枕喇叭</t>
    <phoneticPr fontId="1" type="noConversion"/>
  </si>
  <si>
    <t>个</t>
    <phoneticPr fontId="1" type="noConversion"/>
  </si>
  <si>
    <t>喇叭线束平均长度</t>
    <phoneticPr fontId="1" type="noConversion"/>
  </si>
  <si>
    <t>米</t>
    <phoneticPr fontId="1" type="noConversion"/>
  </si>
  <si>
    <t>米</t>
    <phoneticPr fontId="1" type="noConversion"/>
  </si>
  <si>
    <t>头枕喇叭线束平均长度</t>
    <phoneticPr fontId="1" type="noConversion"/>
  </si>
  <si>
    <t>GPAN分布式音频方案</t>
    <phoneticPr fontId="1" type="noConversion"/>
  </si>
  <si>
    <t>每减重 10 kg → 大约可延长 0.5 – 1 km 续航（约 0.1 – 0.2 %）</t>
    <phoneticPr fontId="1" type="noConversion"/>
  </si>
  <si>
    <t>booster价格</t>
    <phoneticPr fontId="1" type="noConversion"/>
  </si>
  <si>
    <t>国产MCU+软件license费用</t>
    <phoneticPr fontId="1" type="noConversion"/>
  </si>
  <si>
    <t>ZCU新增GPAN节点数</t>
    <phoneticPr fontId="1" type="noConversion"/>
  </si>
  <si>
    <t>A2B收音主节点和播放链路芯片</t>
    <phoneticPr fontId="1" type="noConversion"/>
  </si>
  <si>
    <t>收音主节点个数2+外置功放一对A2B芯片</t>
    <phoneticPr fontId="1" type="noConversion"/>
  </si>
  <si>
    <t>假设GPAN的价格已经被替换的扩展芯片和MCU的IO需求降低抵消</t>
    <phoneticPr fontId="1" type="noConversion"/>
  </si>
  <si>
    <t>元</t>
    <phoneticPr fontId="1" type="noConversion"/>
  </si>
  <si>
    <t>芯片成本对比合计：</t>
    <phoneticPr fontId="1" type="noConversion"/>
  </si>
  <si>
    <t>硬件成本变化</t>
    <phoneticPr fontId="1" type="noConversion"/>
  </si>
  <si>
    <t>去掉外置功放成本对比：</t>
    <phoneticPr fontId="1" type="noConversion"/>
  </si>
  <si>
    <t>开模费用</t>
    <phoneticPr fontId="1" type="noConversion"/>
  </si>
  <si>
    <t>线束成本对比：</t>
    <phoneticPr fontId="1" type="noConversion"/>
  </si>
  <si>
    <t>元</t>
    <phoneticPr fontId="1" type="noConversion"/>
  </si>
  <si>
    <t>装配成本对比：</t>
    <phoneticPr fontId="1" type="noConversion"/>
  </si>
  <si>
    <t>基准</t>
    <phoneticPr fontId="1" type="noConversion"/>
  </si>
  <si>
    <t>人民币</t>
    <phoneticPr fontId="1" type="noConversion"/>
  </si>
  <si>
    <t>约14KG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</si>
</sst>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/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8" borderId="1" xfId="0" applyFill="1" applyBorder="1" applyAlignment="1">
      <alignment horizontal="left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0" fillId="10" borderId="1" xfId="0" applyFill="1" applyBorder="1"/>
    <xf numFmtId="0" fontId="2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8"/>
  <sheetViews>
    <sheetView zoomScale="115" zoomScaleNormal="115" workbookViewId="0">
      <selection activeCell="I31" sqref="I31"/>
    </sheetView>
  </sheetViews>
  <sheetFormatPr defaultRowHeight="13.8" x14ac:dyDescent="0.25"/>
  <cols>
    <col min="2" max="2" width="13.77734375" style="1" customWidth="1"/>
    <col min="3" max="3" width="25.21875" customWidth="1"/>
    <col min="4" max="4" width="18" customWidth="1"/>
    <col min="5" max="5" width="9.44140625" customWidth="1"/>
    <col min="6" max="6" width="21.6640625" customWidth="1"/>
    <col min="7" max="7" width="23.109375" customWidth="1"/>
    <col min="8" max="8" width="8.109375" customWidth="1"/>
    <col min="9" max="9" width="36.21875" customWidth="1"/>
  </cols>
  <sheetData>
    <row r="2" spans="2:11" x14ac:dyDescent="0.25">
      <c r="B2" s="1" t="s">
        <v>42</v>
      </c>
      <c r="C2" t="s">
        <v>65</v>
      </c>
      <c r="D2">
        <v>2</v>
      </c>
      <c r="E2" t="s">
        <v>136</v>
      </c>
      <c r="F2" t="s">
        <v>67</v>
      </c>
      <c r="G2">
        <v>80</v>
      </c>
      <c r="H2" t="s">
        <v>136</v>
      </c>
      <c r="I2" t="s">
        <v>71</v>
      </c>
      <c r="J2">
        <f>5*6.4*2</f>
        <v>64</v>
      </c>
      <c r="K2" t="s">
        <v>48</v>
      </c>
    </row>
    <row r="3" spans="2:11" x14ac:dyDescent="0.25">
      <c r="C3" t="s">
        <v>70</v>
      </c>
      <c r="D3">
        <v>12</v>
      </c>
      <c r="E3" t="s">
        <v>136</v>
      </c>
      <c r="F3" t="s">
        <v>68</v>
      </c>
      <c r="G3">
        <v>14</v>
      </c>
      <c r="H3" t="s">
        <v>136</v>
      </c>
    </row>
    <row r="4" spans="2:11" x14ac:dyDescent="0.25">
      <c r="C4" t="s">
        <v>66</v>
      </c>
      <c r="D4">
        <v>7</v>
      </c>
      <c r="E4" t="s">
        <v>136</v>
      </c>
      <c r="F4" t="s">
        <v>69</v>
      </c>
      <c r="G4">
        <v>18</v>
      </c>
      <c r="H4" t="s">
        <v>136</v>
      </c>
    </row>
    <row r="6" spans="2:11" x14ac:dyDescent="0.25">
      <c r="B6" s="6" t="s">
        <v>21</v>
      </c>
      <c r="C6" s="3" t="s">
        <v>17</v>
      </c>
      <c r="D6" s="3" t="s">
        <v>0</v>
      </c>
      <c r="E6" s="6" t="s">
        <v>11</v>
      </c>
      <c r="F6" s="6" t="s">
        <v>2</v>
      </c>
      <c r="G6" s="3" t="s">
        <v>1</v>
      </c>
      <c r="H6" s="15" t="s">
        <v>3</v>
      </c>
      <c r="I6" s="3" t="s">
        <v>5</v>
      </c>
    </row>
    <row r="7" spans="2:11" x14ac:dyDescent="0.25">
      <c r="B7" s="33" t="s">
        <v>14</v>
      </c>
      <c r="C7" s="2" t="s">
        <v>4</v>
      </c>
      <c r="D7" s="2" t="s">
        <v>63</v>
      </c>
      <c r="E7" s="11">
        <v>1</v>
      </c>
      <c r="F7" s="11">
        <v>80</v>
      </c>
      <c r="G7" s="2" t="s">
        <v>6</v>
      </c>
      <c r="H7" s="16">
        <v>80</v>
      </c>
      <c r="I7" s="2" t="s">
        <v>7</v>
      </c>
    </row>
    <row r="8" spans="2:11" x14ac:dyDescent="0.25">
      <c r="B8" s="33"/>
      <c r="C8" s="2" t="s">
        <v>55</v>
      </c>
      <c r="D8" s="2" t="s">
        <v>59</v>
      </c>
      <c r="E8" s="14">
        <v>20</v>
      </c>
      <c r="F8" s="11">
        <f>D2</f>
        <v>2</v>
      </c>
      <c r="G8" s="2" t="s">
        <v>31</v>
      </c>
      <c r="H8" s="17">
        <v>0</v>
      </c>
      <c r="I8" s="2" t="s">
        <v>52</v>
      </c>
    </row>
    <row r="9" spans="2:11" x14ac:dyDescent="0.25">
      <c r="B9" s="33"/>
      <c r="C9" s="2" t="s">
        <v>9</v>
      </c>
      <c r="D9" s="2" t="s">
        <v>8</v>
      </c>
      <c r="E9" s="11">
        <v>0</v>
      </c>
      <c r="F9" s="11">
        <v>0</v>
      </c>
      <c r="G9" s="2" t="s">
        <v>50</v>
      </c>
      <c r="H9" s="17">
        <f>G3</f>
        <v>14</v>
      </c>
      <c r="I9" s="2" t="s">
        <v>53</v>
      </c>
    </row>
    <row r="10" spans="2:11" x14ac:dyDescent="0.25">
      <c r="B10" s="33"/>
      <c r="C10" s="2" t="s">
        <v>10</v>
      </c>
      <c r="D10" s="2" t="s">
        <v>8</v>
      </c>
      <c r="E10" s="11">
        <v>0</v>
      </c>
      <c r="F10" s="11">
        <v>0</v>
      </c>
      <c r="G10" s="2" t="s">
        <v>12</v>
      </c>
      <c r="H10" s="17">
        <f>G3</f>
        <v>14</v>
      </c>
      <c r="I10" s="2" t="s">
        <v>32</v>
      </c>
    </row>
    <row r="11" spans="2:11" x14ac:dyDescent="0.25">
      <c r="B11" s="33"/>
      <c r="C11" s="2" t="s">
        <v>61</v>
      </c>
      <c r="D11" s="2">
        <f>E8*J2</f>
        <v>1280</v>
      </c>
      <c r="E11" s="11"/>
      <c r="F11" s="14">
        <v>2</v>
      </c>
      <c r="G11" s="2"/>
      <c r="H11" s="17"/>
      <c r="I11" s="2" t="s">
        <v>49</v>
      </c>
    </row>
    <row r="12" spans="2:11" x14ac:dyDescent="0.25">
      <c r="B12" s="33"/>
      <c r="C12" s="2" t="s">
        <v>15</v>
      </c>
      <c r="D12" s="2"/>
      <c r="E12" s="11"/>
      <c r="F12" s="11">
        <f>F7*E7+F8*E8+F11</f>
        <v>122</v>
      </c>
      <c r="G12" s="2"/>
      <c r="H12" s="17">
        <f>SUM(H7:H10)</f>
        <v>108</v>
      </c>
      <c r="I12" s="2"/>
    </row>
    <row r="13" spans="2:11" x14ac:dyDescent="0.25">
      <c r="B13" s="33"/>
      <c r="C13" s="2"/>
      <c r="D13" s="2"/>
      <c r="E13" s="11"/>
      <c r="F13" s="11"/>
      <c r="G13" s="13" t="s">
        <v>16</v>
      </c>
      <c r="H13" s="18">
        <f>F12-H12</f>
        <v>14</v>
      </c>
      <c r="I13" s="2"/>
    </row>
    <row r="14" spans="2:11" x14ac:dyDescent="0.25">
      <c r="B14" s="34" t="s">
        <v>18</v>
      </c>
      <c r="C14" s="4" t="s">
        <v>4</v>
      </c>
      <c r="D14" s="4" t="s">
        <v>63</v>
      </c>
      <c r="E14" s="12">
        <v>1</v>
      </c>
      <c r="F14" s="12">
        <v>80</v>
      </c>
      <c r="G14" s="4" t="s">
        <v>6</v>
      </c>
      <c r="H14" s="16">
        <v>80</v>
      </c>
      <c r="I14" s="4" t="s">
        <v>7</v>
      </c>
    </row>
    <row r="15" spans="2:11" x14ac:dyDescent="0.25">
      <c r="B15" s="34"/>
      <c r="C15" s="4" t="s">
        <v>56</v>
      </c>
      <c r="D15" s="4" t="s">
        <v>59</v>
      </c>
      <c r="E15" s="14">
        <v>12</v>
      </c>
      <c r="F15" s="12">
        <f>D2</f>
        <v>2</v>
      </c>
      <c r="G15" s="4" t="s">
        <v>41</v>
      </c>
      <c r="H15" s="19">
        <v>0</v>
      </c>
      <c r="I15" s="4" t="s">
        <v>40</v>
      </c>
    </row>
    <row r="16" spans="2:11" x14ac:dyDescent="0.25">
      <c r="B16" s="34"/>
      <c r="C16" s="4" t="s">
        <v>9</v>
      </c>
      <c r="D16" s="4" t="s">
        <v>8</v>
      </c>
      <c r="E16" s="12">
        <v>0</v>
      </c>
      <c r="F16" s="12">
        <v>0</v>
      </c>
      <c r="G16" s="4" t="s">
        <v>39</v>
      </c>
      <c r="H16" s="19">
        <v>0</v>
      </c>
      <c r="I16" s="4" t="s">
        <v>19</v>
      </c>
    </row>
    <row r="17" spans="2:9" x14ac:dyDescent="0.25">
      <c r="B17" s="34"/>
      <c r="C17" s="4" t="s">
        <v>10</v>
      </c>
      <c r="D17" s="4" t="s">
        <v>8</v>
      </c>
      <c r="E17" s="12">
        <v>0</v>
      </c>
      <c r="F17" s="12">
        <v>0</v>
      </c>
      <c r="G17" s="4" t="s">
        <v>12</v>
      </c>
      <c r="H17" s="19">
        <f>G3</f>
        <v>14</v>
      </c>
      <c r="I17" s="4" t="s">
        <v>32</v>
      </c>
    </row>
    <row r="18" spans="2:9" x14ac:dyDescent="0.25">
      <c r="B18" s="34"/>
      <c r="C18" s="4" t="s">
        <v>62</v>
      </c>
      <c r="D18" s="4">
        <f>E15*J2</f>
        <v>768</v>
      </c>
      <c r="E18" s="12"/>
      <c r="F18" s="14">
        <v>1</v>
      </c>
      <c r="G18" s="4"/>
      <c r="H18" s="19"/>
      <c r="I18" s="4"/>
    </row>
    <row r="19" spans="2:9" x14ac:dyDescent="0.25">
      <c r="B19" s="34"/>
      <c r="C19" s="4" t="s">
        <v>15</v>
      </c>
      <c r="D19" s="4"/>
      <c r="E19" s="12"/>
      <c r="F19" s="12">
        <f>F14*E14+F15*E15+F18</f>
        <v>105</v>
      </c>
      <c r="G19" s="4"/>
      <c r="H19" s="19">
        <f>SUM(H14:H17)</f>
        <v>94</v>
      </c>
      <c r="I19" s="4"/>
    </row>
    <row r="20" spans="2:9" x14ac:dyDescent="0.25">
      <c r="B20" s="34"/>
      <c r="C20" s="4"/>
      <c r="D20" s="4"/>
      <c r="E20" s="12"/>
      <c r="F20" s="12"/>
      <c r="G20" s="13" t="s">
        <v>16</v>
      </c>
      <c r="H20" s="18">
        <f>F19-H19</f>
        <v>11</v>
      </c>
      <c r="I20" s="4"/>
    </row>
    <row r="21" spans="2:9" x14ac:dyDescent="0.25">
      <c r="B21" s="35" t="s">
        <v>58</v>
      </c>
      <c r="C21" s="2" t="s">
        <v>4</v>
      </c>
      <c r="D21" s="2" t="s">
        <v>64</v>
      </c>
      <c r="E21" s="11">
        <v>1</v>
      </c>
      <c r="F21" s="14">
        <v>120</v>
      </c>
      <c r="G21" s="2" t="s">
        <v>8</v>
      </c>
      <c r="H21" s="17">
        <v>0</v>
      </c>
      <c r="I21" s="2" t="s">
        <v>7</v>
      </c>
    </row>
    <row r="22" spans="2:9" x14ac:dyDescent="0.25">
      <c r="B22" s="33"/>
      <c r="C22" s="2" t="s">
        <v>57</v>
      </c>
      <c r="D22" s="2" t="s">
        <v>59</v>
      </c>
      <c r="E22" s="11">
        <v>20</v>
      </c>
      <c r="F22" s="11">
        <f>D2</f>
        <v>2</v>
      </c>
      <c r="G22" s="2" t="s">
        <v>38</v>
      </c>
      <c r="H22" s="17">
        <v>0</v>
      </c>
      <c r="I22" s="2" t="s">
        <v>33</v>
      </c>
    </row>
    <row r="23" spans="2:9" x14ac:dyDescent="0.25">
      <c r="B23" s="33"/>
      <c r="C23" s="2" t="s">
        <v>34</v>
      </c>
      <c r="D23" s="2" t="s">
        <v>8</v>
      </c>
      <c r="E23" s="11">
        <v>0</v>
      </c>
      <c r="F23" s="11">
        <v>0</v>
      </c>
      <c r="G23" s="2" t="s">
        <v>51</v>
      </c>
      <c r="H23" s="17">
        <f>G3*2</f>
        <v>28</v>
      </c>
      <c r="I23" s="2" t="s">
        <v>73</v>
      </c>
    </row>
    <row r="24" spans="2:9" x14ac:dyDescent="0.25">
      <c r="B24" s="33"/>
      <c r="C24" s="2" t="s">
        <v>35</v>
      </c>
      <c r="D24" s="2" t="s">
        <v>8</v>
      </c>
      <c r="E24" s="11">
        <v>0</v>
      </c>
      <c r="F24" s="11">
        <v>0</v>
      </c>
      <c r="G24" s="2" t="s">
        <v>13</v>
      </c>
      <c r="H24" s="17">
        <f>G4</f>
        <v>18</v>
      </c>
      <c r="I24" s="2" t="s">
        <v>72</v>
      </c>
    </row>
    <row r="25" spans="2:9" x14ac:dyDescent="0.25">
      <c r="B25" s="33"/>
      <c r="C25" s="2" t="s">
        <v>61</v>
      </c>
      <c r="D25" s="2">
        <f>E22*J2</f>
        <v>1280</v>
      </c>
      <c r="E25" s="11"/>
      <c r="F25" s="14">
        <v>2</v>
      </c>
      <c r="G25" s="2"/>
      <c r="H25" s="17"/>
      <c r="I25" s="2"/>
    </row>
    <row r="26" spans="2:9" x14ac:dyDescent="0.25">
      <c r="B26" s="33"/>
      <c r="C26" s="2" t="s">
        <v>15</v>
      </c>
      <c r="D26" s="2"/>
      <c r="E26" s="11"/>
      <c r="F26" s="11">
        <f>F21*E21+F22*E22+F25</f>
        <v>162</v>
      </c>
      <c r="G26" s="2"/>
      <c r="H26" s="17">
        <f>SUM(H21:H24)</f>
        <v>46</v>
      </c>
      <c r="I26" s="2"/>
    </row>
    <row r="27" spans="2:9" x14ac:dyDescent="0.25">
      <c r="B27" s="33"/>
      <c r="C27" s="2"/>
      <c r="D27" s="2"/>
      <c r="E27" s="11"/>
      <c r="F27" s="11"/>
      <c r="G27" s="2" t="s">
        <v>16</v>
      </c>
      <c r="H27" s="17">
        <f>F26-H26</f>
        <v>116</v>
      </c>
      <c r="I27" s="2"/>
    </row>
    <row r="28" spans="2:9" x14ac:dyDescent="0.25">
      <c r="B28" s="7"/>
      <c r="C28" s="2"/>
      <c r="D28" s="2"/>
      <c r="E28" s="2"/>
      <c r="F28" s="2"/>
      <c r="G28" s="5" t="s">
        <v>20</v>
      </c>
      <c r="H28" s="20">
        <f>H13+H20+H27</f>
        <v>141</v>
      </c>
      <c r="I28" s="2"/>
    </row>
  </sheetData>
  <mergeCells count="3">
    <mergeCell ref="B7:B13"/>
    <mergeCell ref="B14:B20"/>
    <mergeCell ref="B21:B2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workbookViewId="0">
      <selection activeCell="D26" sqref="D26"/>
    </sheetView>
  </sheetViews>
  <sheetFormatPr defaultRowHeight="13.8" x14ac:dyDescent="0.25"/>
  <cols>
    <col min="2" max="2" width="13.77734375" style="1" customWidth="1"/>
    <col min="3" max="3" width="21.77734375" customWidth="1"/>
    <col min="4" max="4" width="19.109375" customWidth="1"/>
    <col min="5" max="5" width="9.44140625" customWidth="1"/>
    <col min="6" max="6" width="18" customWidth="1"/>
    <col min="7" max="7" width="23.109375" customWidth="1"/>
    <col min="8" max="8" width="16.5546875" customWidth="1"/>
    <col min="9" max="9" width="36.21875" customWidth="1"/>
  </cols>
  <sheetData>
    <row r="2" spans="2:9" x14ac:dyDescent="0.25">
      <c r="B2" s="1" t="s">
        <v>42</v>
      </c>
      <c r="C2" t="s">
        <v>60</v>
      </c>
      <c r="D2">
        <v>2.5</v>
      </c>
      <c r="F2" t="s">
        <v>43</v>
      </c>
      <c r="G2">
        <v>80</v>
      </c>
    </row>
    <row r="3" spans="2:9" x14ac:dyDescent="0.25">
      <c r="C3" t="s">
        <v>46</v>
      </c>
      <c r="D3">
        <v>9</v>
      </c>
      <c r="F3" t="s">
        <v>44</v>
      </c>
      <c r="G3">
        <v>12</v>
      </c>
    </row>
    <row r="4" spans="2:9" x14ac:dyDescent="0.25">
      <c r="C4" t="s">
        <v>47</v>
      </c>
      <c r="D4">
        <v>7</v>
      </c>
      <c r="F4" t="s">
        <v>45</v>
      </c>
      <c r="G4">
        <v>18</v>
      </c>
    </row>
    <row r="6" spans="2:9" x14ac:dyDescent="0.25">
      <c r="B6" s="6" t="s">
        <v>22</v>
      </c>
      <c r="C6" s="3" t="s">
        <v>17</v>
      </c>
      <c r="D6" s="3" t="s">
        <v>0</v>
      </c>
      <c r="E6" s="3" t="s">
        <v>11</v>
      </c>
      <c r="F6" s="3" t="s">
        <v>2</v>
      </c>
      <c r="G6" s="3" t="s">
        <v>1</v>
      </c>
      <c r="H6" s="3" t="s">
        <v>2</v>
      </c>
      <c r="I6" s="3" t="s">
        <v>5</v>
      </c>
    </row>
    <row r="7" spans="2:9" x14ac:dyDescent="0.25">
      <c r="B7" s="33" t="s">
        <v>23</v>
      </c>
      <c r="C7" s="2" t="s">
        <v>4</v>
      </c>
      <c r="D7" s="2" t="s">
        <v>24</v>
      </c>
      <c r="E7" s="8">
        <v>4</v>
      </c>
      <c r="F7" s="2">
        <v>14</v>
      </c>
      <c r="G7" s="2" t="s">
        <v>54</v>
      </c>
      <c r="H7" s="2">
        <f>G3</f>
        <v>12</v>
      </c>
      <c r="I7" s="2" t="s">
        <v>37</v>
      </c>
    </row>
    <row r="8" spans="2:9" x14ac:dyDescent="0.25">
      <c r="B8" s="33"/>
      <c r="C8" s="2" t="s">
        <v>15</v>
      </c>
      <c r="D8" s="2"/>
      <c r="E8" s="2"/>
      <c r="F8" s="2">
        <f>F7*E7</f>
        <v>56</v>
      </c>
      <c r="G8" s="2"/>
      <c r="H8" s="2">
        <f>E7*H7</f>
        <v>48</v>
      </c>
      <c r="I8" s="2"/>
    </row>
    <row r="9" spans="2:9" x14ac:dyDescent="0.25">
      <c r="B9" s="33"/>
      <c r="C9" s="2"/>
      <c r="D9" s="2"/>
      <c r="E9" s="2"/>
      <c r="F9" s="2"/>
      <c r="G9" s="2" t="s">
        <v>16</v>
      </c>
      <c r="H9" s="2">
        <f>F8-H8</f>
        <v>8</v>
      </c>
      <c r="I9" s="2"/>
    </row>
    <row r="10" spans="2:9" x14ac:dyDescent="0.25">
      <c r="B10" s="34" t="s">
        <v>26</v>
      </c>
      <c r="C10" s="4" t="s">
        <v>4</v>
      </c>
      <c r="D10" s="4" t="s">
        <v>25</v>
      </c>
      <c r="E10" s="8">
        <v>4</v>
      </c>
      <c r="F10" s="8">
        <v>8</v>
      </c>
      <c r="G10" s="4" t="s">
        <v>36</v>
      </c>
      <c r="H10" s="4">
        <f>D4</f>
        <v>7</v>
      </c>
      <c r="I10" s="4" t="s">
        <v>27</v>
      </c>
    </row>
    <row r="11" spans="2:9" x14ac:dyDescent="0.25">
      <c r="B11" s="34"/>
      <c r="C11" s="4" t="s">
        <v>15</v>
      </c>
      <c r="D11" s="4"/>
      <c r="E11" s="4"/>
      <c r="F11" s="4">
        <f>F10*E10</f>
        <v>32</v>
      </c>
      <c r="G11" s="4"/>
      <c r="H11" s="4">
        <f>H10*E10</f>
        <v>28</v>
      </c>
      <c r="I11" s="4"/>
    </row>
    <row r="12" spans="2:9" x14ac:dyDescent="0.25">
      <c r="B12" s="34"/>
      <c r="C12" s="4"/>
      <c r="D12" s="4"/>
      <c r="E12" s="4"/>
      <c r="F12" s="4"/>
      <c r="G12" s="4" t="s">
        <v>16</v>
      </c>
      <c r="H12" s="4">
        <f>F11-H11</f>
        <v>4</v>
      </c>
      <c r="I12" s="4"/>
    </row>
    <row r="13" spans="2:9" x14ac:dyDescent="0.25">
      <c r="B13" s="36" t="s">
        <v>28</v>
      </c>
      <c r="C13" s="9" t="s">
        <v>4</v>
      </c>
      <c r="D13" s="9" t="s">
        <v>25</v>
      </c>
      <c r="E13" s="8">
        <v>8</v>
      </c>
      <c r="F13" s="8">
        <v>8</v>
      </c>
      <c r="G13" s="2" t="s">
        <v>36</v>
      </c>
      <c r="H13" s="9">
        <f>D4</f>
        <v>7</v>
      </c>
      <c r="I13" s="9" t="s">
        <v>27</v>
      </c>
    </row>
    <row r="14" spans="2:9" x14ac:dyDescent="0.25">
      <c r="B14" s="37"/>
      <c r="C14" s="9" t="s">
        <v>15</v>
      </c>
      <c r="D14" s="9"/>
      <c r="E14" s="9"/>
      <c r="F14" s="9">
        <f>F13*E13</f>
        <v>64</v>
      </c>
      <c r="G14" s="9"/>
      <c r="H14" s="9">
        <f>H13*E13</f>
        <v>56</v>
      </c>
      <c r="I14" s="9"/>
    </row>
    <row r="15" spans="2:9" x14ac:dyDescent="0.25">
      <c r="B15" s="38"/>
      <c r="C15" s="9"/>
      <c r="D15" s="9"/>
      <c r="E15" s="9"/>
      <c r="F15" s="9"/>
      <c r="G15" s="9" t="s">
        <v>16</v>
      </c>
      <c r="H15" s="9">
        <f>F14-H14</f>
        <v>8</v>
      </c>
      <c r="I15" s="9"/>
    </row>
    <row r="16" spans="2:9" x14ac:dyDescent="0.25">
      <c r="B16" s="10"/>
      <c r="C16" s="2"/>
      <c r="D16" s="2"/>
      <c r="E16" s="2"/>
      <c r="F16" s="2"/>
      <c r="G16" s="5" t="s">
        <v>29</v>
      </c>
      <c r="H16" s="5">
        <f>H9+H12+H15</f>
        <v>20</v>
      </c>
      <c r="I16" s="2"/>
    </row>
  </sheetData>
  <mergeCells count="3">
    <mergeCell ref="B13:B15"/>
    <mergeCell ref="B7:B9"/>
    <mergeCell ref="B10:B1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tabSelected="1" topLeftCell="A10" zoomScale="115" zoomScaleNormal="115" workbookViewId="0">
      <selection activeCell="I20" sqref="I20"/>
    </sheetView>
  </sheetViews>
  <sheetFormatPr defaultRowHeight="13.8" x14ac:dyDescent="0.25"/>
  <cols>
    <col min="2" max="2" width="13.77734375" style="1" customWidth="1"/>
    <col min="3" max="3" width="29.109375" customWidth="1"/>
    <col min="4" max="4" width="9.88671875" style="21" customWidth="1"/>
    <col min="5" max="5" width="17.21875" customWidth="1"/>
    <col min="6" max="6" width="21.109375" customWidth="1"/>
    <col min="7" max="7" width="60.109375" customWidth="1"/>
  </cols>
  <sheetData>
    <row r="2" spans="2:7" x14ac:dyDescent="0.25">
      <c r="E2" s="21"/>
    </row>
    <row r="4" spans="2:7" x14ac:dyDescent="0.25">
      <c r="B4" s="6" t="s">
        <v>75</v>
      </c>
      <c r="C4" s="3" t="s">
        <v>17</v>
      </c>
      <c r="D4" s="15" t="s">
        <v>92</v>
      </c>
      <c r="E4" s="15" t="s">
        <v>93</v>
      </c>
      <c r="F4" s="15" t="s">
        <v>119</v>
      </c>
      <c r="G4" s="3" t="s">
        <v>5</v>
      </c>
    </row>
    <row r="5" spans="2:7" x14ac:dyDescent="0.25">
      <c r="B5" s="35" t="s">
        <v>109</v>
      </c>
      <c r="C5" s="24" t="s">
        <v>74</v>
      </c>
      <c r="D5" s="25" t="s">
        <v>94</v>
      </c>
      <c r="E5" s="25">
        <v>4</v>
      </c>
      <c r="F5" s="25">
        <v>4</v>
      </c>
      <c r="G5" s="24" t="s">
        <v>30</v>
      </c>
    </row>
    <row r="6" spans="2:7" x14ac:dyDescent="0.25">
      <c r="B6" s="35"/>
      <c r="C6" s="24" t="s">
        <v>76</v>
      </c>
      <c r="D6" s="25" t="s">
        <v>94</v>
      </c>
      <c r="E6" s="25">
        <v>8</v>
      </c>
      <c r="F6" s="25">
        <v>8</v>
      </c>
      <c r="G6" s="24"/>
    </row>
    <row r="7" spans="2:7" x14ac:dyDescent="0.25">
      <c r="B7" s="35"/>
      <c r="C7" s="24" t="s">
        <v>124</v>
      </c>
      <c r="D7" s="25" t="s">
        <v>94</v>
      </c>
      <c r="E7" s="25">
        <v>4</v>
      </c>
      <c r="F7" s="25">
        <v>0</v>
      </c>
      <c r="G7" s="24" t="s">
        <v>125</v>
      </c>
    </row>
    <row r="8" spans="2:7" x14ac:dyDescent="0.25">
      <c r="B8" s="35"/>
      <c r="C8" s="24" t="s">
        <v>123</v>
      </c>
      <c r="D8" s="25" t="s">
        <v>95</v>
      </c>
      <c r="E8" s="25">
        <v>0</v>
      </c>
      <c r="F8" s="25">
        <v>0</v>
      </c>
      <c r="G8" s="24" t="s">
        <v>126</v>
      </c>
    </row>
    <row r="9" spans="2:7" x14ac:dyDescent="0.25">
      <c r="B9" s="35"/>
      <c r="C9" s="24" t="s">
        <v>87</v>
      </c>
      <c r="D9" s="25" t="s">
        <v>98</v>
      </c>
      <c r="E9" s="25">
        <v>15</v>
      </c>
      <c r="F9" s="25">
        <v>10</v>
      </c>
      <c r="G9" s="24" t="s">
        <v>99</v>
      </c>
    </row>
    <row r="10" spans="2:7" x14ac:dyDescent="0.25">
      <c r="B10" s="35"/>
      <c r="C10" s="24" t="s">
        <v>88</v>
      </c>
      <c r="D10" s="25" t="s">
        <v>98</v>
      </c>
      <c r="E10" s="25">
        <v>1</v>
      </c>
      <c r="F10" s="25">
        <v>1</v>
      </c>
      <c r="G10" s="24"/>
    </row>
    <row r="11" spans="2:7" x14ac:dyDescent="0.25">
      <c r="B11" s="35"/>
      <c r="C11" s="29" t="s">
        <v>128</v>
      </c>
      <c r="D11" s="30" t="s">
        <v>127</v>
      </c>
      <c r="E11" s="30">
        <f>(E5+E6+E7+E8)*E9</f>
        <v>240</v>
      </c>
      <c r="F11" s="30">
        <f>(F5+F6+F7+F8)*F9</f>
        <v>120</v>
      </c>
      <c r="G11" s="31">
        <f>E11-F11</f>
        <v>120</v>
      </c>
    </row>
    <row r="12" spans="2:7" x14ac:dyDescent="0.25">
      <c r="B12" s="35"/>
      <c r="C12" s="2" t="s">
        <v>113</v>
      </c>
      <c r="D12" s="17" t="s">
        <v>114</v>
      </c>
      <c r="E12" s="17">
        <v>8</v>
      </c>
      <c r="F12" s="17">
        <v>8</v>
      </c>
      <c r="G12" s="2"/>
    </row>
    <row r="13" spans="2:7" x14ac:dyDescent="0.25">
      <c r="B13" s="35"/>
      <c r="C13" s="2" t="s">
        <v>118</v>
      </c>
      <c r="D13" s="17" t="s">
        <v>117</v>
      </c>
      <c r="E13" s="17">
        <v>4</v>
      </c>
      <c r="F13" s="17">
        <v>1</v>
      </c>
      <c r="G13" s="2"/>
    </row>
    <row r="14" spans="2:7" x14ac:dyDescent="0.25">
      <c r="B14" s="35"/>
      <c r="C14" s="2" t="s">
        <v>112</v>
      </c>
      <c r="D14" s="17" t="s">
        <v>95</v>
      </c>
      <c r="E14" s="17">
        <v>24</v>
      </c>
      <c r="F14" s="17">
        <v>24</v>
      </c>
      <c r="G14" s="2"/>
    </row>
    <row r="15" spans="2:7" x14ac:dyDescent="0.25">
      <c r="B15" s="35"/>
      <c r="C15" s="2" t="s">
        <v>115</v>
      </c>
      <c r="D15" s="17" t="s">
        <v>116</v>
      </c>
      <c r="E15" s="17">
        <v>4</v>
      </c>
      <c r="F15" s="17">
        <v>1.2</v>
      </c>
      <c r="G15" s="2"/>
    </row>
    <row r="16" spans="2:7" x14ac:dyDescent="0.25">
      <c r="B16" s="35"/>
      <c r="C16" s="2" t="s">
        <v>97</v>
      </c>
      <c r="D16" s="17" t="s">
        <v>101</v>
      </c>
      <c r="E16" s="17">
        <v>0.7</v>
      </c>
      <c r="F16" s="17">
        <v>0.5</v>
      </c>
      <c r="G16" s="2" t="s">
        <v>110</v>
      </c>
    </row>
    <row r="17" spans="2:7" x14ac:dyDescent="0.25">
      <c r="B17" s="35"/>
      <c r="C17" s="2" t="s">
        <v>100</v>
      </c>
      <c r="D17" s="17" t="s">
        <v>102</v>
      </c>
      <c r="E17" s="17">
        <v>200</v>
      </c>
      <c r="F17" s="17">
        <v>150</v>
      </c>
      <c r="G17" s="22" t="s">
        <v>89</v>
      </c>
    </row>
    <row r="18" spans="2:7" x14ac:dyDescent="0.25">
      <c r="B18" s="35"/>
      <c r="C18" s="2" t="s">
        <v>103</v>
      </c>
      <c r="D18" s="17" t="s">
        <v>96</v>
      </c>
      <c r="E18" s="17">
        <v>20</v>
      </c>
      <c r="F18" s="17">
        <v>12</v>
      </c>
      <c r="G18" s="2"/>
    </row>
    <row r="19" spans="2:7" x14ac:dyDescent="0.25">
      <c r="B19" s="35"/>
      <c r="C19" s="29" t="s">
        <v>132</v>
      </c>
      <c r="D19" s="30" t="s">
        <v>133</v>
      </c>
      <c r="E19" s="30">
        <f>(E12*E13+E14*E15+E18)*E16</f>
        <v>103.6</v>
      </c>
      <c r="F19" s="30">
        <f>(F12*F13+F14*F15+F18)*F16</f>
        <v>24.4</v>
      </c>
      <c r="G19" s="31">
        <f>E19-F19</f>
        <v>79.199999999999989</v>
      </c>
    </row>
    <row r="20" spans="2:7" x14ac:dyDescent="0.25">
      <c r="B20" s="35"/>
      <c r="C20" s="24" t="s">
        <v>83</v>
      </c>
      <c r="D20" s="25" t="s">
        <v>104</v>
      </c>
      <c r="E20" s="25" t="s">
        <v>81</v>
      </c>
      <c r="F20" s="25">
        <v>50</v>
      </c>
      <c r="G20" s="24" t="s">
        <v>90</v>
      </c>
    </row>
    <row r="21" spans="2:7" x14ac:dyDescent="0.25">
      <c r="B21" s="35"/>
      <c r="C21" s="24" t="s">
        <v>84</v>
      </c>
      <c r="D21" s="25" t="s">
        <v>105</v>
      </c>
      <c r="E21" s="25" t="s">
        <v>81</v>
      </c>
      <c r="F21" s="25">
        <v>30</v>
      </c>
      <c r="G21" s="24" t="s">
        <v>91</v>
      </c>
    </row>
    <row r="22" spans="2:7" x14ac:dyDescent="0.25">
      <c r="B22" s="35"/>
      <c r="C22" s="24" t="s">
        <v>77</v>
      </c>
      <c r="D22" s="25" t="s">
        <v>106</v>
      </c>
      <c r="E22" s="25" t="s">
        <v>81</v>
      </c>
      <c r="F22" s="32">
        <f>E14*E15*E17-F14*F15*F17</f>
        <v>14880</v>
      </c>
      <c r="G22" s="24" t="s">
        <v>137</v>
      </c>
    </row>
    <row r="23" spans="2:7" x14ac:dyDescent="0.25">
      <c r="B23" s="35"/>
      <c r="C23" s="24" t="s">
        <v>82</v>
      </c>
      <c r="D23" s="25" t="s">
        <v>105</v>
      </c>
      <c r="E23" s="25" t="s">
        <v>81</v>
      </c>
      <c r="F23" s="25">
        <v>0</v>
      </c>
      <c r="G23" s="26" t="s">
        <v>120</v>
      </c>
    </row>
    <row r="24" spans="2:7" x14ac:dyDescent="0.25">
      <c r="B24" s="35"/>
      <c r="C24" s="29" t="s">
        <v>134</v>
      </c>
      <c r="D24" s="30" t="s">
        <v>127</v>
      </c>
      <c r="E24" s="30">
        <f>F20+F21</f>
        <v>80</v>
      </c>
      <c r="F24" s="30" t="s">
        <v>135</v>
      </c>
      <c r="G24" s="31" t="str">
        <f>F24</f>
        <v>基准</v>
      </c>
    </row>
    <row r="25" spans="2:7" x14ac:dyDescent="0.25">
      <c r="B25" s="35"/>
      <c r="C25" s="2" t="s">
        <v>78</v>
      </c>
      <c r="D25" s="17" t="s">
        <v>95</v>
      </c>
      <c r="E25" s="17">
        <v>0</v>
      </c>
      <c r="F25" s="17">
        <v>0</v>
      </c>
      <c r="G25" s="2"/>
    </row>
    <row r="26" spans="2:7" x14ac:dyDescent="0.25">
      <c r="B26" s="35"/>
      <c r="C26" s="2" t="s">
        <v>121</v>
      </c>
      <c r="D26" s="17" t="s">
        <v>104</v>
      </c>
      <c r="E26" s="17">
        <v>0</v>
      </c>
      <c r="F26" s="17">
        <v>0</v>
      </c>
      <c r="G26" s="2"/>
    </row>
    <row r="27" spans="2:7" x14ac:dyDescent="0.25">
      <c r="B27" s="35"/>
      <c r="C27" s="2" t="s">
        <v>111</v>
      </c>
      <c r="D27" s="17" t="s">
        <v>107</v>
      </c>
      <c r="E27" s="17">
        <v>16</v>
      </c>
      <c r="F27" s="17">
        <v>0</v>
      </c>
      <c r="G27" s="2"/>
    </row>
    <row r="28" spans="2:7" x14ac:dyDescent="0.25">
      <c r="B28" s="35"/>
      <c r="C28" s="2" t="s">
        <v>85</v>
      </c>
      <c r="D28" s="17" t="s">
        <v>104</v>
      </c>
      <c r="E28" s="17">
        <v>0</v>
      </c>
      <c r="F28" s="17">
        <v>0</v>
      </c>
      <c r="G28" s="2"/>
    </row>
    <row r="29" spans="2:7" x14ac:dyDescent="0.25">
      <c r="B29" s="35"/>
      <c r="C29" s="2" t="s">
        <v>86</v>
      </c>
      <c r="D29" s="17" t="s">
        <v>107</v>
      </c>
      <c r="E29" s="17">
        <v>0</v>
      </c>
      <c r="F29" s="17">
        <v>0</v>
      </c>
      <c r="G29" s="2" t="s">
        <v>122</v>
      </c>
    </row>
    <row r="30" spans="2:7" x14ac:dyDescent="0.25">
      <c r="B30" s="35"/>
      <c r="C30" s="2" t="s">
        <v>79</v>
      </c>
      <c r="D30" s="17" t="s">
        <v>104</v>
      </c>
      <c r="E30" s="17">
        <v>20</v>
      </c>
      <c r="F30" s="17">
        <v>0</v>
      </c>
      <c r="G30" s="2" t="s">
        <v>131</v>
      </c>
    </row>
    <row r="31" spans="2:7" x14ac:dyDescent="0.25">
      <c r="B31" s="35"/>
      <c r="C31" s="2" t="s">
        <v>80</v>
      </c>
      <c r="D31" s="17" t="s">
        <v>107</v>
      </c>
      <c r="E31" s="17">
        <v>0</v>
      </c>
      <c r="F31" s="17">
        <v>0</v>
      </c>
      <c r="G31" s="2"/>
    </row>
    <row r="32" spans="2:7" x14ac:dyDescent="0.25">
      <c r="B32" s="35"/>
      <c r="C32" s="2" t="s">
        <v>129</v>
      </c>
      <c r="D32" s="17" t="s">
        <v>104</v>
      </c>
      <c r="E32" s="17">
        <v>0</v>
      </c>
      <c r="F32" s="17">
        <v>0</v>
      </c>
      <c r="G32" s="2"/>
    </row>
    <row r="33" spans="2:7" x14ac:dyDescent="0.25">
      <c r="B33" s="35"/>
      <c r="C33" s="29" t="s">
        <v>130</v>
      </c>
      <c r="D33" s="30"/>
      <c r="E33" s="30">
        <f>SUM(E25:E32)</f>
        <v>36</v>
      </c>
      <c r="F33" s="30">
        <f>SUM(F25:F32)</f>
        <v>0</v>
      </c>
      <c r="G33" s="31">
        <f>E33-F33</f>
        <v>36</v>
      </c>
    </row>
    <row r="34" spans="2:7" x14ac:dyDescent="0.25">
      <c r="B34" s="33"/>
      <c r="C34" s="27" t="s">
        <v>15</v>
      </c>
      <c r="D34" s="28"/>
      <c r="E34" s="28">
        <f>E11+E19+E33+E24</f>
        <v>459.6</v>
      </c>
      <c r="F34" s="28">
        <f>F11+F19+F33</f>
        <v>144.4</v>
      </c>
      <c r="G34" s="2"/>
    </row>
    <row r="35" spans="2:7" x14ac:dyDescent="0.25">
      <c r="B35" s="33"/>
      <c r="C35" s="2"/>
      <c r="D35" s="17"/>
      <c r="E35" s="39" t="s">
        <v>108</v>
      </c>
      <c r="F35" s="40"/>
      <c r="G35" s="23">
        <f>E34-F34</f>
        <v>315.20000000000005</v>
      </c>
    </row>
  </sheetData>
  <mergeCells count="2">
    <mergeCell ref="B5:B35"/>
    <mergeCell ref="E35:F3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3个ZCU收益</vt:lpstr>
      <vt:lpstr>三级网络</vt:lpstr>
      <vt:lpstr>48V音频收益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2026-02-04T06:16:47Z</dcterms:modified>
</cp:coreProperties>
</file>